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cenario Builder" sheetId="2" state="visible" r:id="rId2"/>
    <sheet xmlns:r="http://schemas.openxmlformats.org/officeDocument/2006/relationships" name="8 Delegates" sheetId="3" state="visible" r:id="rId3"/>
    <sheet xmlns:r="http://schemas.openxmlformats.org/officeDocument/2006/relationships" name="12 Delegates" sheetId="4" state="visible" r:id="rId4"/>
    <sheet xmlns:r="http://schemas.openxmlformats.org/officeDocument/2006/relationships" name="Selected Slate" sheetId="5" state="visible" r:id="rId5"/>
    <sheet xmlns:r="http://schemas.openxmlformats.org/officeDocument/2006/relationships" name="Assumptions &amp; Sources" sheetId="6" state="visible" r:id="rId6"/>
    <sheet xmlns:r="http://schemas.openxmlformats.org/officeDocument/2006/relationships" name="Transport Options" sheetId="7" state="visible" r:id="rId7"/>
    <sheet xmlns:r="http://schemas.openxmlformats.org/officeDocument/2006/relationships" name="Payment Timeline" sheetId="8" state="visible" r:id="rId8"/>
    <sheet xmlns:r="http://schemas.openxmlformats.org/officeDocument/2006/relationships" name="Rail Screen" sheetId="9" state="visible" r:id="rId9"/>
    <sheet xmlns:r="http://schemas.openxmlformats.org/officeDocument/2006/relationships" name="Delegate Fees" sheetId="10" state="visible" r:id="rId10"/>
    <sheet xmlns:r="http://schemas.openxmlformats.org/officeDocument/2006/relationships" name="Operating Budget" sheetId="11" state="visible" r:id="rId11"/>
    <sheet xmlns:r="http://schemas.openxmlformats.org/officeDocument/2006/relationships" name="Fundraising &amp; Net" sheetId="12" state="visible" r:id="rId12"/>
    <sheet xmlns:r="http://schemas.openxmlformats.org/officeDocument/2006/relationships" name="Registration Windows" sheetId="13" state="visible" r:id="rId13"/>
    <sheet xmlns:r="http://schemas.openxmlformats.org/officeDocument/2006/relationships" name="Financial Aid" sheetId="14" state="visible" r:id="rId14"/>
    <sheet xmlns:r="http://schemas.openxmlformats.org/officeDocument/2006/relationships" name="Cash Flow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4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sz val="9"/>
    </font>
    <font>
      <b val="1"/>
      <color rgb="00FFFFFF"/>
    </font>
    <font>
      <b val="1"/>
    </font>
    <font>
      <b val="1"/>
      <color rgb="00C00000"/>
    </font>
    <font>
      <i val="1"/>
      <color rgb="001F3864"/>
      <sz val="9"/>
    </font>
    <font>
      <b val="1"/>
      <color rgb="00FFFFFF"/>
      <sz val="12"/>
    </font>
    <font>
      <b val="1"/>
      <color rgb="00FFFFFF"/>
      <sz val="13"/>
    </font>
    <font>
      <b val="1"/>
      <color rgb="001F3864"/>
    </font>
    <font>
      <color rgb="00808080"/>
      <sz val="9"/>
    </font>
    <font>
      <b val="1"/>
      <color rgb="00FFFFFF"/>
      <sz val="14"/>
    </font>
    <font>
      <b val="1"/>
      <sz val="10"/>
    </font>
    <font>
      <i val="1"/>
      <color rgb="00843C0C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0" fillId="4" borderId="1" pivotButton="0" quotePrefix="0" xfId="0"/>
    <xf numFmtId="0" fontId="0" fillId="4" borderId="1" applyAlignment="1" pivotButton="0" quotePrefix="0" xfId="0">
      <alignment wrapText="1"/>
    </xf>
    <xf numFmtId="0" fontId="4" fillId="5" borderId="0" pivotButton="0" quotePrefix="0" xfId="0"/>
    <xf numFmtId="0" fontId="3" fillId="2" borderId="0" pivotButton="0" quotePrefix="0" xfId="0"/>
    <xf numFmtId="0" fontId="5" fillId="0" borderId="0" pivotButton="0" quotePrefix="0" xfId="0"/>
    <xf numFmtId="164" fontId="4" fillId="0" borderId="1" pivotButton="0" quotePrefix="0" xfId="0"/>
    <xf numFmtId="164" fontId="4" fillId="5" borderId="1" pivotButton="0" quotePrefix="0" xfId="0"/>
    <xf numFmtId="1" fontId="4" fillId="0" borderId="1" pivotButton="0" quotePrefix="0" xfId="0"/>
    <xf numFmtId="164" fontId="4" fillId="4" borderId="1" pivotButton="0" quotePrefix="0" xfId="0"/>
    <xf numFmtId="0" fontId="6" fillId="0" borderId="0" pivotButton="0" quotePrefix="0" xfId="0"/>
    <xf numFmtId="0" fontId="11" fillId="2" borderId="0" pivotButton="0" quotePrefix="0" xfId="0"/>
    <xf numFmtId="0" fontId="2" fillId="0" borderId="0" applyAlignment="1" pivotButton="0" quotePrefix="0" xfId="0">
      <alignment wrapText="1"/>
    </xf>
    <xf numFmtId="0" fontId="12" fillId="0" borderId="0" pivotButton="0" quotePrefix="0" xfId="0"/>
    <xf numFmtId="2" fontId="4" fillId="4" borderId="1" applyAlignment="1" pivotButton="0" quotePrefix="0" xfId="0">
      <alignment horizontal="center"/>
    </xf>
    <xf numFmtId="164" fontId="0" fillId="0" borderId="1" pivotButton="0" quotePrefix="0" xfId="0"/>
    <xf numFmtId="164" fontId="0" fillId="4" borderId="1" pivotButton="0" quotePrefix="0" xfId="0"/>
    <xf numFmtId="164" fontId="10" fillId="0" borderId="0" pivotButton="0" quotePrefix="0" xfId="0"/>
    <xf numFmtId="164" fontId="0" fillId="0" borderId="0" pivotButton="0" quotePrefix="0" xfId="0"/>
    <xf numFmtId="0" fontId="4" fillId="5" borderId="1" pivotButton="0" quotePrefix="0" xfId="0"/>
    <xf numFmtId="0" fontId="3" fillId="2" borderId="1" pivotButton="0" quotePrefix="0" xfId="0"/>
    <xf numFmtId="164" fontId="3" fillId="2" borderId="1" pivotButton="0" quotePrefix="0" xfId="0"/>
    <xf numFmtId="164" fontId="0" fillId="4" borderId="0" pivotButton="0" quotePrefix="0" xfId="0"/>
    <xf numFmtId="0" fontId="0" fillId="4" borderId="0" pivotButton="0" quotePrefix="0" xfId="0"/>
    <xf numFmtId="164" fontId="4" fillId="0" borderId="0" pivotButton="0" quotePrefix="0" xfId="0"/>
    <xf numFmtId="0" fontId="5" fillId="4" borderId="1" pivotButton="0" quotePrefix="0" xfId="0"/>
    <xf numFmtId="164" fontId="5" fillId="4" borderId="1" pivotButton="0" quotePrefix="0" xfId="0"/>
    <xf numFmtId="0" fontId="4" fillId="7" borderId="1" pivotButton="0" quotePrefix="0" xfId="0"/>
    <xf numFmtId="164" fontId="4" fillId="7" borderId="1" pivotButton="0" quotePrefix="0" xfId="0"/>
    <xf numFmtId="0" fontId="13" fillId="8" borderId="0" applyAlignment="1" pivotButton="0" quotePrefix="0" xfId="0">
      <alignment vertical="center" wrapText="1"/>
    </xf>
    <xf numFmtId="0" fontId="7" fillId="2" borderId="0" pivotButton="0" quotePrefix="0" xfId="0"/>
    <xf numFmtId="0" fontId="3" fillId="3" borderId="1" pivotButton="0" quotePrefix="0" xfId="0"/>
    <xf numFmtId="0" fontId="4" fillId="6" borderId="0" pivotButton="0" quotePrefix="0" xfId="0"/>
    <xf numFmtId="0" fontId="0" fillId="6" borderId="0" pivotButton="0" quotePrefix="0" xfId="0"/>
    <xf numFmtId="0" fontId="4" fillId="4" borderId="0" pivotButton="0" quotePrefix="0" xfId="0"/>
    <xf numFmtId="0" fontId="0" fillId="0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3" fillId="3" borderId="0" pivotButton="0" quotePrefix="0" xfId="0"/>
    <xf numFmtId="0" fontId="8" fillId="2" borderId="0" pivotButton="0" quotePrefix="0" xfId="0"/>
    <xf numFmtId="0" fontId="4" fillId="0" borderId="1" pivotButton="0" quotePrefix="0" xfId="0"/>
    <xf numFmtId="0" fontId="0" fillId="7" borderId="1" pivotButton="0" quotePrefix="0" xfId="0"/>
    <xf numFmtId="0" fontId="0" fillId="7" borderId="1" applyAlignment="1" pivotButton="0" quotePrefix="0" xfId="0">
      <alignment wrapText="1"/>
    </xf>
    <xf numFmtId="0" fontId="4" fillId="4" borderId="1" pivotButton="0" quotePrefix="0" xfId="0"/>
    <xf numFmtId="0" fontId="2" fillId="0" borderId="0" applyAlignment="1" pivotButton="0" quotePrefix="0" xfId="0">
      <alignment vertical="center" wrapText="1"/>
    </xf>
    <xf numFmtId="0" fontId="5" fillId="0" borderId="1" applyAlignment="1" pivotButton="0" quotePrefix="0" xfId="0">
      <alignment wrapText="1"/>
    </xf>
    <xf numFmtId="0" fontId="9" fillId="7" borderId="0" pivotButton="0" quotePrefix="0" xfId="0"/>
    <xf numFmtId="0" fontId="0" fillId="7" borderId="0" pivotButton="0" quotePrefix="0" xfId="0"/>
    <xf numFmtId="9" fontId="0" fillId="0" borderId="1" pivotButton="0" quotePrefix="0" xfId="0"/>
    <xf numFmtId="0" fontId="4" fillId="0" borderId="0" pivotButton="0" quotePrefix="0" xfId="0"/>
    <xf numFmtId="164" fontId="9" fillId="0" borderId="0" pivotButton="0" quotePrefix="0" xfId="0"/>
    <xf numFmtId="164" fontId="4" fillId="4" borderId="0" pivotButton="0" quotePrefix="0" xfId="0"/>
    <xf numFmtId="0" fontId="9" fillId="4" borderId="0" applyAlignment="1" pivotButton="0" quotePrefix="0" xfId="0">
      <alignment vertical="center" wrapText="1"/>
    </xf>
    <xf numFmtId="0" fontId="4" fillId="7" borderId="0" pivotButton="0" quotePrefix="0" xfId="0"/>
    <xf numFmtId="164" fontId="0" fillId="7" borderId="1" pivotButton="0" quotePrefix="0" xfId="0"/>
    <xf numFmtId="0" fontId="9" fillId="4" borderId="1" pivotButton="0" quotePrefix="0" xfId="0"/>
    <xf numFmtId="164" fontId="9" fillId="4" borderId="1" pivotButton="0" quotePrefix="0" xfId="0"/>
    <xf numFmtId="0" fontId="9" fillId="5" borderId="1" pivotButton="0" quotePrefix="0" xfId="0"/>
    <xf numFmtId="0" fontId="0" fillId="5" borderId="1" pivotButton="0" quotePrefix="0" xfId="0"/>
    <xf numFmtId="164" fontId="9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2F2F2"/>
        </patternFill>
      </fill>
    </dxf>
    <dxf>
      <font>
        <color rgb="00C00000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2" customWidth="1" min="8" max="8"/>
    <col width="52" customWidth="1" min="9" max="9"/>
  </cols>
  <sheetData>
    <row r="1" ht="24" customHeight="1">
      <c r="A1" s="1" t="inlineStr">
        <is>
          <t>Queen's Model United Nations – Conference Budget 2026-27</t>
        </is>
      </c>
    </row>
    <row r="2">
      <c r="A2" s="2" t="inlineStr">
        <is>
          <t>Transport: US confs = Communauto Value plan + Long Distance · Montreal confs = Megabus · UNCMUNC = fly. Kingston origin. Sourced June 2026.</t>
        </is>
      </c>
    </row>
    <row r="3">
      <c r="A3" s="2" t="inlineStr">
        <is>
          <t>Cars picked up Wednesday PM for an early-Thursday departure, so rental day count includes the Wednesday night (1 extra day per US drive vs a Thu-Sun hold). Exception: CIAC (Cornell, 3.5h) is a Thursday-morning pickup, no extra day.</t>
        </is>
      </c>
    </row>
    <row r="4">
      <c r="A4" t="inlineStr">
        <is>
          <t>4 del/room · 4 del/car · 3 nights · USD&gt;CAD 1.39 · +10% contingency · McMUN &amp; ConMUN 20 del (16 selectable in Scenario Builder) · excl. meals &amp; faculty.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 ht="28" customHeight="1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</row>
    <row r="6" ht="26" customHeight="1">
      <c r="A6" s="4" t="inlineStr">
        <is>
          <t>Conference</t>
        </is>
      </c>
      <c r="B6" s="4" t="inlineStr">
        <is>
          <t>City</t>
        </is>
      </c>
      <c r="C6" s="4" t="inlineStr">
        <is>
          <t>Dates</t>
        </is>
      </c>
      <c r="D6" s="4" t="inlineStr">
        <is>
          <t>Travel</t>
        </is>
      </c>
      <c r="E6" s="4" t="inlineStr">
        <is>
          <t>8-del* – CAD</t>
        </is>
      </c>
      <c r="F6" s="4" t="inlineStr">
        <is>
          <t>8-del* – USD</t>
        </is>
      </c>
      <c r="G6" s="4" t="inlineStr">
        <is>
          <t>12-del* – CAD</t>
        </is>
      </c>
      <c r="H6" s="4" t="inlineStr">
        <is>
          <t>12-del* – USD</t>
        </is>
      </c>
      <c r="I6" s="5" t="inlineStr">
        <is>
          <t>Key note</t>
        </is>
      </c>
    </row>
    <row r="7" ht="26" customHeight="1">
      <c r="A7" s="4" t="inlineStr">
        <is>
          <t>UPMUNC – Penn</t>
        </is>
      </c>
      <c r="B7" s="4" t="inlineStr">
        <is>
          <t>Philadelphia, PA</t>
        </is>
      </c>
      <c r="C7" s="4" t="inlineStr">
        <is>
          <t>Oct 15-18, 2026</t>
        </is>
      </c>
      <c r="D7" s="4" t="inlineStr">
        <is>
          <t>Commauto 6.5h</t>
        </is>
      </c>
      <c r="E7" s="4" t="inlineStr">
        <is>
          <t>$4,540</t>
        </is>
      </c>
      <c r="F7" s="4" t="inlineStr">
        <is>
          <t>$3,266</t>
        </is>
      </c>
      <c r="G7" s="4" t="inlineStr">
        <is>
          <t>$6,737</t>
        </is>
      </c>
      <c r="H7" s="4" t="inlineStr">
        <is>
          <t>$4,847</t>
        </is>
      </c>
      <c r="I7" s="5" t="inlineStr">
        <is>
          <t>Verify dates (usually Nov). Off-block $20/del/nt.</t>
        </is>
      </c>
    </row>
    <row r="8" ht="26" customHeight="1">
      <c r="A8" s="4" t="inlineStr">
        <is>
          <t>CIAC – Cornell</t>
        </is>
      </c>
      <c r="B8" s="4" t="inlineStr">
        <is>
          <t>Ithaca, NY</t>
        </is>
      </c>
      <c r="C8" s="4" t="inlineStr">
        <is>
          <t>Oct 22-25, 2026</t>
        </is>
      </c>
      <c r="D8" s="4" t="inlineStr">
        <is>
          <t>Commauto 3.5h</t>
        </is>
      </c>
      <c r="E8" s="4" t="inlineStr">
        <is>
          <t>$2,795</t>
        </is>
      </c>
      <c r="F8" s="4" t="inlineStr">
        <is>
          <t>$2,011</t>
        </is>
      </c>
      <c r="G8" s="4" t="inlineStr">
        <is>
          <t>$4,026</t>
        </is>
      </c>
      <c r="H8" s="4" t="inlineStr">
        <is>
          <t>$2,896</t>
        </is>
      </c>
      <c r="I8" s="5" t="inlineStr">
        <is>
          <t>Delegates 11+ FREE. Closest. $149/nt incl breakfast. Reg at 50% (confirmed returning-delegation discount; last attended CIAC XIII/2022).</t>
        </is>
      </c>
    </row>
    <row r="9" ht="26" customHeight="1">
      <c r="A9" s="4" t="inlineStr">
        <is>
          <t>NCSC – Georgetown</t>
        </is>
      </c>
      <c r="B9" s="4" t="inlineStr">
        <is>
          <t>Washington, DC</t>
        </is>
      </c>
      <c r="C9" s="4" t="inlineStr">
        <is>
          <t>Nov 5-8, 2026</t>
        </is>
      </c>
      <c r="D9" s="4" t="inlineStr">
        <is>
          <t>Commauto 8h</t>
        </is>
      </c>
      <c r="E9" s="4" t="inlineStr">
        <is>
          <t>$6,241</t>
        </is>
      </c>
      <c r="F9" s="4" t="inlineStr">
        <is>
          <t>$4,490</t>
        </is>
      </c>
      <c r="G9" s="4" t="inlineStr">
        <is>
          <t>$9,293</t>
        </is>
      </c>
      <c r="H9" s="4" t="inlineStr">
        <is>
          <t>$6,686</t>
        </is>
      </c>
      <c r="I9" s="5" t="inlineStr">
        <is>
          <t>Washington Hilton; off-block $150/school/nt. Priciest hotel.</t>
        </is>
      </c>
    </row>
    <row r="10" ht="26" customHeight="1">
      <c r="A10" s="6" t="inlineStr">
        <is>
          <t>UNCMUNC – UNC</t>
        </is>
      </c>
      <c r="B10" s="6" t="inlineStr">
        <is>
          <t>Chapel Hill, NC</t>
        </is>
      </c>
      <c r="C10" s="6" t="inlineStr">
        <is>
          <t>Nov 19-22, 2026</t>
        </is>
      </c>
      <c r="D10" s="6" t="inlineStr">
        <is>
          <t>Fly (YYZ-RDU)</t>
        </is>
      </c>
      <c r="E10" s="6" t="inlineStr">
        <is>
          <t>$8,855</t>
        </is>
      </c>
      <c r="F10" s="6" t="inlineStr">
        <is>
          <t>$6,371</t>
        </is>
      </c>
      <c r="G10" s="6" t="inlineStr">
        <is>
          <t>$12,739</t>
        </is>
      </c>
      <c r="H10" s="6" t="inlineStr">
        <is>
          <t>$9,165</t>
        </is>
      </c>
      <c r="I10" s="7" t="inlineStr">
        <is>
          <t>14-15h each way = fly. No host hotel block.</t>
        </is>
      </c>
    </row>
    <row r="11" ht="26" customHeight="1">
      <c r="A11" s="4" t="inlineStr">
        <is>
          <t>McMUN – McGill</t>
        </is>
      </c>
      <c r="B11" s="4" t="inlineStr">
        <is>
          <t>Montreal, QC</t>
        </is>
      </c>
      <c r="C11" s="4" t="inlineStr">
        <is>
          <t>Jan 28-31, 2027</t>
        </is>
      </c>
      <c r="D11" s="4" t="inlineStr">
        <is>
          <t>Megabus 3.5h</t>
        </is>
      </c>
      <c r="E11" s="4" t="inlineStr">
        <is>
          <t>$9,119</t>
        </is>
      </c>
      <c r="F11" s="4" t="inlineStr">
        <is>
          <t>$6,560</t>
        </is>
      </c>
      <c r="G11" s="4" t="inlineStr">
        <is>
          <t>$9,119</t>
        </is>
      </c>
      <c r="H11" s="4" t="inlineStr">
        <is>
          <t>$6,560</t>
        </is>
      </c>
      <c r="I11" s="5" t="inlineStr">
        <is>
          <t>FIXED 20 DEL. FIXED 20 del. Per-del EST (2027 table unposted, incl $20 social). Sheraton quad $234.</t>
        </is>
      </c>
    </row>
    <row r="12" ht="26" customHeight="1">
      <c r="A12" s="4" t="inlineStr">
        <is>
          <t>BUCKMUN – Ohio State</t>
        </is>
      </c>
      <c r="B12" s="4" t="inlineStr">
        <is>
          <t>Columbus, OH</t>
        </is>
      </c>
      <c r="C12" s="4" t="inlineStr">
        <is>
          <t>Feb 4-7, 2027</t>
        </is>
      </c>
      <c r="D12" s="4" t="inlineStr">
        <is>
          <t>Commauto 9h</t>
        </is>
      </c>
      <c r="E12" s="4" t="inlineStr">
        <is>
          <t>$4,003</t>
        </is>
      </c>
      <c r="F12" s="4" t="inlineStr">
        <is>
          <t>$2,880</t>
        </is>
      </c>
      <c r="G12" s="4" t="inlineStr">
        <is>
          <t>$5,947</t>
        </is>
      </c>
      <c r="H12" s="4" t="inlineStr">
        <is>
          <t>$4,278</t>
        </is>
      </c>
      <c r="I12" s="5" t="inlineStr">
        <is>
          <t>INAUGURAL – fees ESTIMATED. Confirm w/ organizers.</t>
        </is>
      </c>
    </row>
    <row r="13" ht="26" customHeight="1">
      <c r="A13" s="6" t="inlineStr">
        <is>
          <t>RevMUNC – GW</t>
        </is>
      </c>
      <c r="B13" s="6" t="inlineStr">
        <is>
          <t>Washington, DC</t>
        </is>
      </c>
      <c r="C13" s="6" t="inlineStr">
        <is>
          <t>Feb 18-21, 2027</t>
        </is>
      </c>
      <c r="D13" s="6" t="inlineStr">
        <is>
          <t>Commauto 8h</t>
        </is>
      </c>
      <c r="E13" s="6" t="inlineStr">
        <is>
          <t>$4,458</t>
        </is>
      </c>
      <c r="F13" s="6" t="inlineStr">
        <is>
          <t>$3,207</t>
        </is>
      </c>
      <c r="G13" s="6" t="inlineStr">
        <is>
          <t>$6,642</t>
        </is>
      </c>
      <c r="H13" s="6" t="inlineStr">
        <is>
          <t>$4,778</t>
        </is>
      </c>
      <c r="I13" s="7" t="inlineStr">
        <is>
          <t>NEW (founded 2026). Same DC drive as NCSC. Regular-window fee; hotel est. Falls on reading week wk2.</t>
        </is>
      </c>
    </row>
    <row r="14" ht="26" customHeight="1">
      <c r="A14" s="4" t="inlineStr">
        <is>
          <t>ConMUN – Concordia</t>
        </is>
      </c>
      <c r="B14" s="4" t="inlineStr">
        <is>
          <t>Montreal, QC</t>
        </is>
      </c>
      <c r="C14" s="4" t="inlineStr">
        <is>
          <t>~Mar 11-14, 2027</t>
        </is>
      </c>
      <c r="D14" s="4" t="inlineStr">
        <is>
          <t>Megabus 3.5h</t>
        </is>
      </c>
      <c r="E14" s="4" t="inlineStr">
        <is>
          <t>$9,058</t>
        </is>
      </c>
      <c r="F14" s="4" t="inlineStr">
        <is>
          <t>$6,517</t>
        </is>
      </c>
      <c r="G14" s="4" t="inlineStr">
        <is>
          <t>$9,058</t>
        </is>
      </c>
      <c r="H14" s="4" t="inlineStr">
        <is>
          <t>$6,517</t>
        </is>
      </c>
      <c r="I14" s="5" t="inlineStr">
        <is>
          <t>FIXED 20 DEL. FIXED 20 del. 2027 dates TBD (2026 figs). DoubleTree $229/rm.</t>
        </is>
      </c>
    </row>
    <row r="15" ht="26" customHeight="1">
      <c r="A15" s="4" t="inlineStr">
        <is>
          <t>ChoMUN – UChicago</t>
        </is>
      </c>
      <c r="B15" s="4" t="inlineStr">
        <is>
          <t>Chicago, IL</t>
        </is>
      </c>
      <c r="C15" s="4" t="inlineStr">
        <is>
          <t>Mar 25-28, 2027</t>
        </is>
      </c>
      <c r="D15" s="4" t="inlineStr">
        <is>
          <t>Commauto 10h</t>
        </is>
      </c>
      <c r="E15" s="4" t="inlineStr">
        <is>
          <t>$4,990</t>
        </is>
      </c>
      <c r="F15" s="4" t="inlineStr">
        <is>
          <t>$3,590</t>
        </is>
      </c>
      <c r="G15" s="4" t="inlineStr">
        <is>
          <t>$7,447</t>
        </is>
      </c>
      <c r="H15" s="4" t="inlineStr">
        <is>
          <t>$5,357</t>
        </is>
      </c>
      <c r="I15" s="5" t="inlineStr">
        <is>
          <t>Palmer House $201/quad. First-time deleg $50. 5% CC surcharge.</t>
        </is>
      </c>
    </row>
    <row r="16">
      <c r="A16" s="8" t="inlineStr">
        <is>
          <t>VICS – UVA</t>
        </is>
      </c>
      <c r="B16" s="8" t="inlineStr">
        <is>
          <t>Charlottesville, VA</t>
        </is>
      </c>
      <c r="C16" s="8" t="inlineStr">
        <is>
          <t>~Mar 25-28, 2027</t>
        </is>
      </c>
      <c r="D16" s="8" t="inlineStr">
        <is>
          <t>Commauto 11-13h</t>
        </is>
      </c>
      <c r="E16" s="8" t="inlineStr">
        <is>
          <t>$4,789</t>
        </is>
      </c>
      <c r="F16" s="8" t="inlineStr">
        <is>
          <t>$3,445</t>
        </is>
      </c>
      <c r="G16" s="8" t="inlineStr">
        <is>
          <t>$7,118</t>
        </is>
      </c>
      <c r="H16" s="8" t="inlineStr">
        <is>
          <t>$5,121</t>
        </is>
      </c>
      <c r="I16" s="8" t="inlineStr">
        <is>
          <t>VICS 31 dates TBD. Blocks $169-222; used $189.</t>
        </is>
      </c>
    </row>
    <row r="17">
      <c r="A17" t="inlineStr">
        <is>
          <t>Conferences subtotal (10)</t>
        </is>
      </c>
      <c r="B17" t="inlineStr"/>
      <c r="C17" t="inlineStr"/>
      <c r="D17" t="inlineStr"/>
      <c r="E17" t="inlineStr">
        <is>
          <t>$58,848</t>
        </is>
      </c>
      <c r="F17" t="inlineStr">
        <is>
          <t>$42,337</t>
        </is>
      </c>
      <c r="G17" t="inlineStr">
        <is>
          <t>$78,126</t>
        </is>
      </c>
      <c r="H17" t="inlineStr">
        <is>
          <t>$56,206</t>
        </is>
      </c>
      <c r="I17" t="inlineStr">
        <is>
          <t>*US confs at 8 or 12; Montreal confs always 20</t>
        </is>
      </c>
    </row>
    <row r="18">
      <c r="A18" s="9" t="inlineStr">
        <is>
          <t>+ Communauto Value subscriptions</t>
        </is>
      </c>
      <c r="B18" s="9" t="inlineStr"/>
      <c r="C18" s="9" t="inlineStr"/>
      <c r="D18" s="9" t="inlineStr"/>
      <c r="E18" s="9" t="inlineStr">
        <is>
          <t>$180</t>
        </is>
      </c>
      <c r="F18" s="9" t="inlineStr">
        <is>
          <t>$129</t>
        </is>
      </c>
      <c r="G18" s="9" t="inlineStr">
        <is>
          <t>$180</t>
        </is>
      </c>
      <c r="H18" s="9" t="inlineStr">
        <is>
          <t>$129</t>
        </is>
      </c>
      <c r="I18" s="9" t="inlineStr">
        <is>
          <t>3 accts x $60/yr ($5/mo plan unlocks Long Distance)</t>
        </is>
      </c>
    </row>
    <row r="19">
      <c r="A19" t="inlineStr">
        <is>
          <t>PROGRAM TOTAL</t>
        </is>
      </c>
      <c r="B19" t="inlineStr"/>
      <c r="C19" t="inlineStr"/>
      <c r="D19" t="inlineStr"/>
      <c r="E19" t="inlineStr">
        <is>
          <t>$59,028</t>
        </is>
      </c>
      <c r="F19" t="inlineStr">
        <is>
          <t>$42,467</t>
        </is>
      </c>
      <c r="G19" t="inlineStr">
        <is>
          <t>$78,306</t>
        </is>
      </c>
      <c r="H19" t="inlineStr">
        <is>
          <t>$56,335</t>
        </is>
      </c>
      <c r="I19" t="inlineStr">
        <is>
          <t>+3 x $500 refundable Communauto bonds (not a cost)</t>
        </is>
      </c>
    </row>
    <row r="20">
      <c r="A20" s="10" t="inlineStr"/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FLAGS: McMUN/ConMUN fees CAD-native, partly prior-year (2027 tables unposted) · BUCKMUN inaugural (estimated) · RevMUNC new conf (fee/hotel est, reading-week wk2) · UPMUNC Oct dates unusual · VICS/ConMUN dates TBD.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s="9" t="inlineStr">
        <is>
          <t>CURRENT SCENARIO  (live from the Scenario Builder)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t="inlineStr">
        <is>
          <t>Conference slate (incl Communauto subscriptions)</t>
        </is>
      </c>
      <c r="E23" s="11">
        <f>'Scenario Builder'!E17</f>
        <v/>
      </c>
    </row>
    <row r="24">
      <c r="A24" t="inlineStr">
        <is>
          <t>+ Operating budget (socials / merch / admin)</t>
        </is>
      </c>
      <c r="E24" s="11">
        <f>'Scenario Builder'!E18</f>
        <v/>
      </c>
    </row>
    <row r="25">
      <c r="A25" s="8" t="inlineStr">
        <is>
          <t>ALL-IN TOTAL</t>
        </is>
      </c>
      <c r="B25" s="8" t="n"/>
      <c r="C25" s="8" t="n"/>
      <c r="D25" s="8" t="n"/>
      <c r="E25" s="12">
        <f>'Scenario Builder'!E19</f>
        <v/>
      </c>
    </row>
    <row r="26">
      <c r="A26" t="inlineStr">
        <is>
          <t>Delegate-trips</t>
        </is>
      </c>
      <c r="E26" s="13">
        <f>'Scenario Builder'!B17</f>
        <v/>
      </c>
    </row>
    <row r="27">
      <c r="A27" t="inlineStr">
        <is>
          <t>Funding (grant + dues + bar + dinner + per-conf fees)</t>
        </is>
      </c>
      <c r="E27" s="11">
        <f>'Scenario Builder'!E29</f>
        <v/>
      </c>
    </row>
    <row r="28">
      <c r="A28" s="10" t="inlineStr">
        <is>
          <t>CLUB FUNDS (gap) — the planned subsidy</t>
        </is>
      </c>
      <c r="E28" s="14">
        <f>'Scenario Builder'!E30</f>
        <v/>
      </c>
    </row>
    <row r="29">
      <c r="A29" t="inlineStr">
        <is>
          <t>Break-even delegate fee (gap = $0)</t>
        </is>
      </c>
      <c r="E29" s="11">
        <f>'Scenario Builder'!E31</f>
        <v/>
      </c>
    </row>
    <row r="31">
      <c r="A31" s="15" t="inlineStr">
        <is>
          <t>Live: edit the Scenario Builder and this panel follows. The conference matrix above is the fixed reference menu (every conf at 8 and 12 delegates).</t>
        </is>
      </c>
    </row>
  </sheetData>
  <mergeCells count="12">
    <mergeCell ref="A23:D23"/>
    <mergeCell ref="A27:D27"/>
    <mergeCell ref="A2:I2"/>
    <mergeCell ref="A22:D22"/>
    <mergeCell ref="A26:D26"/>
    <mergeCell ref="A1:I1"/>
    <mergeCell ref="A29:D29"/>
    <mergeCell ref="A25:D25"/>
    <mergeCell ref="A31:I31"/>
    <mergeCell ref="A3:I3"/>
    <mergeCell ref="A24:D24"/>
    <mergeCell ref="A28:D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1" customWidth="1" min="3" max="3"/>
    <col width="17" customWidth="1" min="4" max="4"/>
    <col width="15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4" customHeight="1">
      <c r="A1" s="16" t="inlineStr">
        <is>
          <t>SCENARIO BUILDER — toggle conferences, the budget updates live</t>
        </is>
      </c>
    </row>
    <row r="2" ht="28" customHeight="1">
      <c r="A2" s="17" t="inlineStr">
        <is>
          <t>Set Go? to 1 (attend) or 0 (skip). Set Delegates (US: 8 or 12 · Montreal: 16 or 20). Set Fee /del to what each delegate pays for THAT conference. Yellow cells are yours to edit; everything below recalculates automatically.</t>
        </is>
      </c>
    </row>
    <row r="3">
      <c r="A3" s="18" t="inlineStr">
        <is>
          <t>FX rate  USD → CAD  (edit — scales only the US-conf costs) →</t>
        </is>
      </c>
      <c r="D3" s="19" t="n">
        <v>1.39</v>
      </c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s="3" t="inlineStr">
        <is>
          <t>Conference</t>
        </is>
      </c>
      <c r="B4" s="3" t="inlineStr">
        <is>
          <t>Go?</t>
        </is>
      </c>
      <c r="C4" s="3" t="inlineStr">
        <is>
          <t>Delegates</t>
        </is>
      </c>
      <c r="D4" s="3" t="inlineStr">
        <is>
          <t>Cost @ size (CAD)</t>
        </is>
      </c>
      <c r="E4" s="3" t="inlineStr">
        <is>
          <t>In-slate cost</t>
        </is>
      </c>
      <c r="F4" s="3" t="inlineStr">
        <is>
          <t>Fee /del</t>
        </is>
      </c>
      <c r="G4" s="3" t="inlineStr">
        <is>
          <t>usd@8</t>
        </is>
      </c>
      <c r="H4" s="3" t="inlineStr">
        <is>
          <t>cad@8</t>
        </is>
      </c>
      <c r="I4" s="3" t="inlineStr">
        <is>
          <t>usd@12</t>
        </is>
      </c>
      <c r="J4" s="3" t="inlineStr">
        <is>
          <t>cad@12</t>
        </is>
      </c>
      <c r="K4" s="3" t="inlineStr">
        <is>
          <t>usd@16</t>
        </is>
      </c>
      <c r="L4" s="3" t="inlineStr">
        <is>
          <t>cad@16</t>
        </is>
      </c>
      <c r="M4" s="3" t="inlineStr">
        <is>
          <t>usd@20</t>
        </is>
      </c>
      <c r="N4" s="3" t="inlineStr">
        <is>
          <t>cad@20</t>
        </is>
      </c>
    </row>
    <row r="5">
      <c r="A5" s="4" t="inlineStr">
        <is>
          <t>UPMUNC – Penn</t>
        </is>
      </c>
      <c r="B5" s="6" t="n">
        <v>0</v>
      </c>
      <c r="C5" s="6" t="n">
        <v>8</v>
      </c>
      <c r="D5" s="20">
        <f>(IF(C5=8,G5,IF(C5=12,I5,IF(C5=16,K5,M5)))*$D$3+IF(C5=8,H5,IF(C5=12,J5,IF(C5=16,L5,N5))))*1.1</f>
        <v/>
      </c>
      <c r="E5" s="20">
        <f>B5*D5</f>
        <v/>
      </c>
      <c r="F5" s="21" t="n">
        <v>300</v>
      </c>
      <c r="G5" s="22" t="n">
        <v>2175</v>
      </c>
      <c r="H5" s="22" t="n">
        <v>1104</v>
      </c>
      <c r="I5" s="22" t="n">
        <v>3215</v>
      </c>
      <c r="J5" s="22" t="n">
        <v>1656</v>
      </c>
      <c r="K5" s="22" t="n">
        <v>4255</v>
      </c>
      <c r="L5" s="22" t="n">
        <v>2208</v>
      </c>
      <c r="M5" s="22" t="n">
        <v>5295</v>
      </c>
      <c r="N5" s="22" t="n">
        <v>2760</v>
      </c>
    </row>
    <row r="6">
      <c r="A6" s="4" t="inlineStr">
        <is>
          <t>CIAC – Cornell</t>
        </is>
      </c>
      <c r="B6" s="6" t="n">
        <v>1</v>
      </c>
      <c r="C6" s="6" t="n">
        <v>12</v>
      </c>
      <c r="D6" s="20">
        <f>(IF(C6=8,G6,IF(C6=12,I6,IF(C6=16,K6,M6)))*$D$3+IF(C6=8,H6,IF(C6=12,J6,IF(C6=16,L6,N6))))*1.1</f>
        <v/>
      </c>
      <c r="E6" s="20">
        <f>B6*D6</f>
        <v/>
      </c>
      <c r="F6" s="21" t="n">
        <v>300</v>
      </c>
      <c r="G6" s="22" t="n">
        <v>1292</v>
      </c>
      <c r="H6" s="22" t="n">
        <v>745</v>
      </c>
      <c r="I6" s="22" t="n">
        <v>1828</v>
      </c>
      <c r="J6" s="22" t="n">
        <v>1118</v>
      </c>
      <c r="K6" s="22" t="n">
        <v>2276</v>
      </c>
      <c r="L6" s="22" t="n">
        <v>1491</v>
      </c>
      <c r="M6" s="22" t="n">
        <v>2722</v>
      </c>
      <c r="N6" s="22" t="n">
        <v>1864</v>
      </c>
    </row>
    <row r="7">
      <c r="A7" s="4" t="inlineStr">
        <is>
          <t>NCSC – Georgetown</t>
        </is>
      </c>
      <c r="B7" s="6" t="n">
        <v>1</v>
      </c>
      <c r="C7" s="6" t="n">
        <v>8</v>
      </c>
      <c r="D7" s="20">
        <f>(IF(C7=8,G7,IF(C7=12,I7,IF(C7=16,K7,M7)))*$D$3+IF(C7=8,H7,IF(C7=12,J7,IF(C7=16,L7,N7))))*1.1</f>
        <v/>
      </c>
      <c r="E7" s="20">
        <f>B7*D7</f>
        <v/>
      </c>
      <c r="F7" s="21" t="n">
        <v>300</v>
      </c>
      <c r="G7" s="22" t="n">
        <v>3166</v>
      </c>
      <c r="H7" s="22" t="n">
        <v>1273</v>
      </c>
      <c r="I7" s="22" t="n">
        <v>4704</v>
      </c>
      <c r="J7" s="22" t="n">
        <v>1910</v>
      </c>
      <c r="K7" s="22" t="n">
        <v>6242</v>
      </c>
      <c r="L7" s="22" t="n">
        <v>2546</v>
      </c>
      <c r="M7" s="22" t="n">
        <v>7780</v>
      </c>
      <c r="N7" s="22" t="n">
        <v>3183</v>
      </c>
    </row>
    <row r="8">
      <c r="A8" s="4" t="inlineStr">
        <is>
          <t>UNCMUNC – UNC</t>
        </is>
      </c>
      <c r="B8" s="6" t="n">
        <v>0</v>
      </c>
      <c r="C8" s="6" t="n">
        <v>8</v>
      </c>
      <c r="D8" s="20">
        <f>(IF(C8=8,G8,IF(C8=12,I8,IF(C8=16,K8,M8)))*$D$3+IF(C8=8,H8,IF(C8=12,J8,IF(C8=16,L8,N8))))*1.1</f>
        <v/>
      </c>
      <c r="E8" s="20">
        <f>B8*D8</f>
        <v/>
      </c>
      <c r="F8" s="21" t="n">
        <v>300</v>
      </c>
      <c r="G8" s="22" t="n">
        <v>5180</v>
      </c>
      <c r="H8" s="22" t="n">
        <v>850</v>
      </c>
      <c r="I8" s="22" t="n">
        <v>7720</v>
      </c>
      <c r="J8" s="22" t="n">
        <v>850</v>
      </c>
      <c r="K8" s="22" t="n">
        <v>10260</v>
      </c>
      <c r="L8" s="22" t="n">
        <v>850</v>
      </c>
      <c r="M8" s="22" t="n">
        <v>12800</v>
      </c>
      <c r="N8" s="22" t="n">
        <v>850</v>
      </c>
    </row>
    <row r="9">
      <c r="A9" s="4" t="inlineStr">
        <is>
          <t>McMUN – McGill  [16 or 20]</t>
        </is>
      </c>
      <c r="B9" s="6" t="n">
        <v>1</v>
      </c>
      <c r="C9" s="6" t="n">
        <v>20</v>
      </c>
      <c r="D9" s="20">
        <f>(IF(C9=8,G9,IF(C9=12,I9,IF(C9=16,K9,M9)))*$D$3+IF(C9=8,H9,IF(C9=12,J9,IF(C9=16,L9,N9))))*1.1</f>
        <v/>
      </c>
      <c r="E9" s="20">
        <f>B9*D9</f>
        <v/>
      </c>
      <c r="F9" s="21" t="n">
        <v>300</v>
      </c>
      <c r="G9" s="22" t="n">
        <v>0</v>
      </c>
      <c r="H9" s="22" t="n">
        <v>3364</v>
      </c>
      <c r="I9" s="22" t="n">
        <v>0</v>
      </c>
      <c r="J9" s="22" t="n">
        <v>5006</v>
      </c>
      <c r="K9" s="22" t="n">
        <v>0</v>
      </c>
      <c r="L9" s="22" t="n">
        <v>6648</v>
      </c>
      <c r="M9" s="22" t="n">
        <v>0</v>
      </c>
      <c r="N9" s="22" t="n">
        <v>8290</v>
      </c>
    </row>
    <row r="10">
      <c r="A10" s="4" t="inlineStr">
        <is>
          <t>BUCKMUN – Ohio State</t>
        </is>
      </c>
      <c r="B10" s="6" t="n">
        <v>0</v>
      </c>
      <c r="C10" s="6" t="n">
        <v>8</v>
      </c>
      <c r="D10" s="20">
        <f>(IF(C10=8,G10,IF(C10=12,I10,IF(C10=16,K10,M10)))*$D$3+IF(C10=8,H10,IF(C10=12,J10,IF(C10=16,L10,N10))))*1.1</f>
        <v/>
      </c>
      <c r="E10" s="20">
        <f>B10*D10</f>
        <v/>
      </c>
      <c r="F10" s="21" t="n">
        <v>300</v>
      </c>
      <c r="G10" s="22" t="n">
        <v>1575</v>
      </c>
      <c r="H10" s="22" t="n">
        <v>1450</v>
      </c>
      <c r="I10" s="22" t="n">
        <v>2325</v>
      </c>
      <c r="J10" s="22" t="n">
        <v>2174</v>
      </c>
      <c r="K10" s="22" t="n">
        <v>3075</v>
      </c>
      <c r="L10" s="22" t="n">
        <v>2899</v>
      </c>
      <c r="M10" s="22" t="n">
        <v>3825</v>
      </c>
      <c r="N10" s="22" t="n">
        <v>3624</v>
      </c>
    </row>
    <row r="11">
      <c r="A11" s="4" t="inlineStr">
        <is>
          <t>RevMUNC – GW</t>
        </is>
      </c>
      <c r="B11" s="6" t="n">
        <v>1</v>
      </c>
      <c r="C11" s="6" t="n">
        <v>8</v>
      </c>
      <c r="D11" s="20">
        <f>(IF(C11=8,G11,IF(C11=12,I11,IF(C11=16,K11,M11)))*$D$3+IF(C11=8,H11,IF(C11=12,J11,IF(C11=16,L11,N11))))*1.1</f>
        <v/>
      </c>
      <c r="E11" s="20">
        <f>B11*D11</f>
        <v/>
      </c>
      <c r="F11" s="21" t="n">
        <v>300</v>
      </c>
      <c r="G11" s="22" t="n">
        <v>2000</v>
      </c>
      <c r="H11" s="22" t="n">
        <v>1273</v>
      </c>
      <c r="I11" s="22" t="n">
        <v>2970</v>
      </c>
      <c r="J11" s="22" t="n">
        <v>1910</v>
      </c>
      <c r="K11" s="22" t="n">
        <v>3940</v>
      </c>
      <c r="L11" s="22" t="n">
        <v>2546</v>
      </c>
      <c r="M11" s="22" t="n">
        <v>4910</v>
      </c>
      <c r="N11" s="22" t="n">
        <v>3183</v>
      </c>
    </row>
    <row r="12">
      <c r="A12" s="4" t="inlineStr">
        <is>
          <t>ConMUN – Concordia  [16 or 20]</t>
        </is>
      </c>
      <c r="B12" s="6" t="n">
        <v>1</v>
      </c>
      <c r="C12" s="6" t="n">
        <v>20</v>
      </c>
      <c r="D12" s="20">
        <f>(IF(C12=8,G12,IF(C12=12,I12,IF(C12=16,K12,M12)))*$D$3+IF(C12=8,H12,IF(C12=12,J12,IF(C12=16,L12,N12))))*1.1</f>
        <v/>
      </c>
      <c r="E12" s="20">
        <f>B12*D12</f>
        <v/>
      </c>
      <c r="F12" s="21" t="n">
        <v>300</v>
      </c>
      <c r="G12" s="22" t="n">
        <v>0</v>
      </c>
      <c r="H12" s="22" t="n">
        <v>3354</v>
      </c>
      <c r="I12" s="22" t="n">
        <v>0</v>
      </c>
      <c r="J12" s="22" t="n">
        <v>4981</v>
      </c>
      <c r="K12" s="22" t="n">
        <v>0</v>
      </c>
      <c r="L12" s="22" t="n">
        <v>6608</v>
      </c>
      <c r="M12" s="22" t="n">
        <v>0</v>
      </c>
      <c r="N12" s="22" t="n">
        <v>8235</v>
      </c>
    </row>
    <row r="13">
      <c r="A13" s="4" t="inlineStr">
        <is>
          <t>ChoMUN – UChicago</t>
        </is>
      </c>
      <c r="B13" s="6" t="n">
        <v>1</v>
      </c>
      <c r="C13" s="6" t="n">
        <v>8</v>
      </c>
      <c r="D13" s="20">
        <f>(IF(C13=8,G13,IF(C13=12,I13,IF(C13=16,K13,M13)))*$D$3+IF(C13=8,H13,IF(C13=12,J13,IF(C13=16,L13,N13))))*1.1</f>
        <v/>
      </c>
      <c r="E13" s="20">
        <f>B13*D13</f>
        <v/>
      </c>
      <c r="F13" s="21" t="n">
        <v>300</v>
      </c>
      <c r="G13" s="22" t="n">
        <v>2136</v>
      </c>
      <c r="H13" s="22" t="n">
        <v>1567</v>
      </c>
      <c r="I13" s="22" t="n">
        <v>3179</v>
      </c>
      <c r="J13" s="22" t="n">
        <v>2351</v>
      </c>
      <c r="K13" s="22" t="n">
        <v>4222</v>
      </c>
      <c r="L13" s="22" t="n">
        <v>3134</v>
      </c>
      <c r="M13" s="22" t="n">
        <v>5265</v>
      </c>
      <c r="N13" s="22" t="n">
        <v>3918</v>
      </c>
    </row>
    <row r="14">
      <c r="A14" s="4" t="inlineStr">
        <is>
          <t>VICS – UVA</t>
        </is>
      </c>
      <c r="B14" s="6" t="n">
        <v>1</v>
      </c>
      <c r="C14" s="6" t="n">
        <v>12</v>
      </c>
      <c r="D14" s="20">
        <f>(IF(C14=8,G14,IF(C14=12,I14,IF(C14=16,K14,M14)))*$D$3+IF(C14=8,H14,IF(C14=12,J14,IF(C14=16,L14,N14))))*1.1</f>
        <v/>
      </c>
      <c r="E14" s="20">
        <f>B14*D14</f>
        <v/>
      </c>
      <c r="F14" s="21" t="n">
        <v>300</v>
      </c>
      <c r="G14" s="22" t="n">
        <v>2059</v>
      </c>
      <c r="H14" s="22" t="n">
        <v>1492</v>
      </c>
      <c r="I14" s="22" t="n">
        <v>3046</v>
      </c>
      <c r="J14" s="22" t="n">
        <v>2237</v>
      </c>
      <c r="K14" s="22" t="n">
        <v>4033</v>
      </c>
      <c r="L14" s="22" t="n">
        <v>2983</v>
      </c>
      <c r="M14" s="22" t="n">
        <v>5020</v>
      </c>
      <c r="N14" s="22" t="n">
        <v>3729</v>
      </c>
    </row>
    <row r="15">
      <c r="A15" t="inlineStr">
        <is>
          <t>+ Communauto Value subscriptions (3 accts, if driving)</t>
        </is>
      </c>
      <c r="E15" s="23" t="n">
        <v>180</v>
      </c>
    </row>
    <row r="17">
      <c r="A17" s="24" t="inlineStr">
        <is>
          <t>SLATE TOTAL</t>
        </is>
      </c>
      <c r="B17" s="24">
        <f>SUMPRODUCT(B5:B14,C5:C14)</f>
        <v/>
      </c>
      <c r="C17" s="24" t="inlineStr">
        <is>
          <t>trips</t>
        </is>
      </c>
      <c r="D17" s="12">
        <f>IF(B17=0,"",E17/B17)</f>
        <v/>
      </c>
      <c r="E17" s="12">
        <f>SUM(E5:E15)</f>
        <v/>
      </c>
    </row>
    <row r="18">
      <c r="A18" t="inlineStr">
        <is>
          <t>Operating budget (live — edit on Operating Budget tab)</t>
        </is>
      </c>
      <c r="E18" s="23">
        <f>'Operating Budget'!C23</f>
        <v/>
      </c>
    </row>
    <row r="19">
      <c r="A19" s="25" t="inlineStr">
        <is>
          <t>ALL-IN TOTAL</t>
        </is>
      </c>
      <c r="B19" s="25" t="n"/>
      <c r="C19" s="25" t="n"/>
      <c r="D19" s="25" t="n"/>
      <c r="E19" s="26">
        <f>E17+E18</f>
        <v/>
      </c>
    </row>
    <row r="21">
      <c r="A21" s="8" t="inlineStr">
        <is>
          <t>FUNDING INPUTS  — edit any yellow cell</t>
        </is>
      </c>
    </row>
    <row r="22">
      <c r="A22" t="inlineStr">
        <is>
          <t>AMS / society grant</t>
        </is>
      </c>
      <c r="E22" s="27" t="n">
        <v>1500</v>
      </c>
    </row>
    <row r="23">
      <c r="A23" t="inlineStr">
        <is>
          <t>Club members  (x $10 joining fee)</t>
        </is>
      </c>
      <c r="D23" s="28" t="n">
        <v>80</v>
      </c>
      <c r="E23" s="23">
        <f>D23*10</f>
        <v/>
      </c>
    </row>
    <row r="24">
      <c r="A24" t="inlineStr">
        <is>
          <t>Bar / percentage nights (season total)</t>
        </is>
      </c>
      <c r="E24" s="27" t="n">
        <v>1500</v>
      </c>
    </row>
    <row r="25">
      <c r="A25" t="inlineStr">
        <is>
          <t>Team dinner (20% night)</t>
        </is>
      </c>
      <c r="E25" s="27" t="n">
        <v>180</v>
      </c>
    </row>
    <row r="26">
      <c r="A26" t="inlineStr">
        <is>
          <t>Base funding (auto)</t>
        </is>
      </c>
      <c r="E26" s="29">
        <f>E22+E23+E24+E25</f>
        <v/>
      </c>
    </row>
    <row r="28">
      <c r="A28" t="inlineStr">
        <is>
          <t>Delegate fees (set per conf in 'Fee /del' col) →</t>
        </is>
      </c>
      <c r="C28" t="inlineStr">
        <is>
          <t>blended /del →</t>
        </is>
      </c>
      <c r="D28" s="27">
        <f>IF(B17=0,"",E28/B17)</f>
        <v/>
      </c>
      <c r="E28" s="23">
        <f>SUMPRODUCT(B5:B14,C5:C14,F5:F14)</f>
        <v/>
      </c>
    </row>
    <row r="29">
      <c r="A29" s="24" t="inlineStr">
        <is>
          <t>FUNDING TOTAL</t>
        </is>
      </c>
      <c r="B29" s="24" t="n"/>
      <c r="C29" s="24" t="n"/>
      <c r="D29" s="24" t="n"/>
      <c r="E29" s="12">
        <f>E26+E28</f>
        <v/>
      </c>
    </row>
    <row r="30">
      <c r="A30" s="30" t="inlineStr">
        <is>
          <t>CLUB FUNDS (GAP) — the planned subsidy</t>
        </is>
      </c>
      <c r="B30" s="30" t="n"/>
      <c r="C30" s="30" t="n"/>
      <c r="D30" s="30" t="n"/>
      <c r="E30" s="31">
        <f>E19-E29</f>
        <v/>
      </c>
    </row>
    <row r="31">
      <c r="A31" s="32" t="inlineStr">
        <is>
          <t>Break-even delegate fee  (fee that drives the gap to $0)</t>
        </is>
      </c>
      <c r="B31" s="32" t="n"/>
      <c r="C31" s="32" t="n"/>
      <c r="D31" s="32" t="n"/>
      <c r="E31" s="33">
        <f>IF(B17=0,"",(E19-E26)/B17)</f>
        <v/>
      </c>
    </row>
    <row r="33" ht="30" customHeight="1">
      <c r="A33" s="34" t="inlineStr">
        <is>
          <t>FX cushion: everything US is priced at 1.39. Bump the FX cell to 1.45 and the slate cost rises ~$804 — that is the model's single biggest external risk, now a live lever above.</t>
        </is>
      </c>
    </row>
    <row r="34" ht="30" customHeight="1">
      <c r="A34" s="34" t="inlineStr">
        <is>
          <t>No-show / sunk-cost: the guaranteed-delegate assumption is load-bearing. Most delegation deposits and hotel blocks are NON-refundable once paid, so an unfilled seat is money already spent. Register conservatively and confirm headcount before each deposit deadline (see Payment Timeline).</t>
        </is>
      </c>
    </row>
  </sheetData>
  <mergeCells count="6">
    <mergeCell ref="A21:E21"/>
    <mergeCell ref="A34:N34"/>
    <mergeCell ref="A2:N2"/>
    <mergeCell ref="A33:N33"/>
    <mergeCell ref="A3:C3"/>
    <mergeCell ref="A1:N1"/>
  </mergeCells>
  <conditionalFormatting sqref="A5:E14">
    <cfRule type="expression" priority="1" dxfId="0">
      <formula>$B5=1</formula>
    </cfRule>
    <cfRule type="expression" priority="2" dxfId="1">
      <formula>$B5=0</formula>
    </cfRule>
  </conditionalFormatting>
  <dataValidations count="3">
    <dataValidation sqref="B5 B6 B7 B8 B9 B10 B11 B12 B13 B14" showDropDown="0" showInputMessage="0" showErrorMessage="0" allowBlank="0" type="list">
      <formula1>"0,1"</formula1>
    </dataValidation>
    <dataValidation sqref="C5 C6 C7 C8 C10 C11 C13 C14" showDropDown="0" showInputMessage="0" showErrorMessage="0" allowBlank="0" type="list">
      <formula1>"8,12"</formula1>
    </dataValidation>
    <dataValidation sqref="C9 C12" showDropDown="0" showInputMessage="0" showErrorMessage="0" allowBlank="0" type="list">
      <formula1>"16,20"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16" customWidth="1" min="3" max="3"/>
    <col width="8" customWidth="1" min="4" max="4"/>
    <col width="13" customWidth="1" min="5" max="5"/>
    <col width="13" customWidth="1" min="6" max="6"/>
  </cols>
  <sheetData>
    <row r="1">
      <c r="A1" s="35" t="inlineStr">
        <is>
          <t>LINE-ITEM DETAIL – 8-delegate scenario (Montreal confs fixed at 20)</t>
        </is>
      </c>
    </row>
    <row r="2">
      <c r="A2" s="2" t="inlineStr">
        <is>
          <t>US confs USD&gt;CAD @1.39. Montreal confs CAD-native (USD col = equiv). Communauto/Megabus native CAD, incl tax.</t>
        </is>
      </c>
    </row>
    <row r="3">
      <c r="A3" t="inlineStr"/>
      <c r="B3" t="inlineStr"/>
      <c r="C3" t="inlineStr"/>
      <c r="D3" t="inlineStr"/>
      <c r="E3" t="inlineStr"/>
      <c r="F3" t="inlineStr"/>
    </row>
    <row r="4">
      <c r="A4" s="36" t="inlineStr">
        <is>
          <t>Conference / Line item</t>
        </is>
      </c>
      <c r="B4" s="36" t="inlineStr">
        <is>
          <t>Basis</t>
        </is>
      </c>
      <c r="C4" s="36" t="inlineStr">
        <is>
          <t>Rate</t>
        </is>
      </c>
      <c r="D4" s="36" t="inlineStr">
        <is>
          <t>Qty</t>
        </is>
      </c>
      <c r="E4" s="36" t="inlineStr">
        <is>
          <t>USD</t>
        </is>
      </c>
      <c r="F4" s="36" t="inlineStr">
        <is>
          <t>CAD</t>
        </is>
      </c>
    </row>
    <row r="5">
      <c r="A5" s="8" t="inlineStr">
        <is>
          <t>▼ UPMUNC – Penn  (Philadelphia, PA, Oct 15-18, 2026)</t>
        </is>
      </c>
      <c r="B5" s="8" t="inlineStr"/>
      <c r="C5" s="8" t="inlineStr"/>
      <c r="D5" s="8" t="inlineStr"/>
      <c r="E5" s="8" t="inlineStr"/>
      <c r="F5" s="8" t="inlineStr"/>
    </row>
    <row r="6">
      <c r="A6" t="inlineStr">
        <is>
          <t xml:space="preserve">   Delegation fee</t>
        </is>
      </c>
      <c r="B6" t="inlineStr">
        <is>
          <t>flat</t>
        </is>
      </c>
      <c r="C6" t="inlineStr">
        <is>
          <t>$95 USD</t>
        </is>
      </c>
      <c r="D6" t="inlineStr">
        <is>
          <t>1</t>
        </is>
      </c>
      <c r="E6" t="inlineStr">
        <is>
          <t>$95</t>
        </is>
      </c>
      <c r="F6" t="inlineStr">
        <is>
          <t>$132</t>
        </is>
      </c>
    </row>
    <row r="7">
      <c r="A7" t="inlineStr">
        <is>
          <t xml:space="preserve">   Delegate fees</t>
        </is>
      </c>
      <c r="B7" t="inlineStr">
        <is>
          <t>8 billable</t>
        </is>
      </c>
      <c r="C7" t="inlineStr">
        <is>
          <t>$110 USD</t>
        </is>
      </c>
      <c r="D7" t="inlineStr">
        <is>
          <t>8</t>
        </is>
      </c>
      <c r="E7" t="inlineStr">
        <is>
          <t>$880</t>
        </is>
      </c>
      <c r="F7" t="inlineStr">
        <is>
          <t>$1,223</t>
        </is>
      </c>
    </row>
    <row r="8">
      <c r="A8" t="inlineStr">
        <is>
          <t xml:space="preserve">   Hotel</t>
        </is>
      </c>
      <c r="B8" t="inlineStr">
        <is>
          <t>2 rms x 3 nts</t>
        </is>
      </c>
      <c r="C8" t="inlineStr">
        <is>
          <t>$200 USD</t>
        </is>
      </c>
      <c r="D8" t="inlineStr">
        <is>
          <t>6</t>
        </is>
      </c>
      <c r="E8" t="inlineStr">
        <is>
          <t>$1,200</t>
        </is>
      </c>
      <c r="F8" t="inlineStr">
        <is>
          <t>$1,668</t>
        </is>
      </c>
    </row>
    <row r="9">
      <c r="A9" t="inlineStr">
        <is>
          <t xml:space="preserve">   Communauto Value+LongDist</t>
        </is>
      </c>
      <c r="B9" t="inlineStr">
        <is>
          <t>2 cars x $552/car</t>
        </is>
      </c>
      <c r="C9" t="inlineStr">
        <is>
          <t>gas incl</t>
        </is>
      </c>
      <c r="D9" t="inlineStr">
        <is>
          <t>2</t>
        </is>
      </c>
      <c r="E9" t="inlineStr">
        <is>
          <t>—</t>
        </is>
      </c>
      <c r="F9" t="inlineStr">
        <is>
          <t>$1,104</t>
        </is>
      </c>
    </row>
    <row r="10">
      <c r="A10" s="2" t="inlineStr">
        <is>
          <t xml:space="preserve">      (per car: $194 time + $264 km + $30 dmg, x13% HST)</t>
        </is>
      </c>
      <c r="B10" t="inlineStr"/>
      <c r="C10" t="inlineStr"/>
      <c r="D10" t="inlineStr"/>
      <c r="E10" t="inlineStr"/>
      <c r="F10" t="inlineStr"/>
    </row>
    <row r="11">
      <c r="A11" s="2" t="inlineStr">
        <is>
          <t xml:space="preserve">   Subtotal</t>
        </is>
      </c>
      <c r="B11" t="inlineStr"/>
      <c r="C11" t="inlineStr"/>
      <c r="D11" t="inlineStr"/>
      <c r="E11" t="inlineStr">
        <is>
          <t>$2,969</t>
        </is>
      </c>
      <c r="F11" t="inlineStr">
        <is>
          <t>$4,127</t>
        </is>
      </c>
    </row>
    <row r="12">
      <c r="A12" s="2" t="inlineStr">
        <is>
          <t xml:space="preserve">   Contingency 10%</t>
        </is>
      </c>
      <c r="B12" t="inlineStr"/>
      <c r="C12" t="inlineStr"/>
      <c r="D12" t="inlineStr"/>
      <c r="E12" t="inlineStr">
        <is>
          <t>$297</t>
        </is>
      </c>
      <c r="F12" t="inlineStr">
        <is>
          <t>$413</t>
        </is>
      </c>
    </row>
    <row r="13">
      <c r="A13" s="37" t="inlineStr">
        <is>
          <t xml:space="preserve">   TOTAL – UPMUNC – Penn (DRIVE, 8 del)</t>
        </is>
      </c>
      <c r="B13" s="38" t="inlineStr"/>
      <c r="C13" s="38" t="inlineStr"/>
      <c r="D13" s="38" t="inlineStr"/>
      <c r="E13" s="38" t="inlineStr">
        <is>
          <t>$3,266</t>
        </is>
      </c>
      <c r="F13" s="38" t="inlineStr">
        <is>
          <t>$4,540</t>
        </is>
      </c>
    </row>
    <row r="14">
      <c r="A14" t="inlineStr"/>
      <c r="B14" t="inlineStr"/>
      <c r="C14" t="inlineStr"/>
      <c r="D14" t="inlineStr"/>
      <c r="E14" t="inlineStr"/>
      <c r="F14" t="inlineStr"/>
    </row>
    <row r="15">
      <c r="A15" s="8" t="inlineStr">
        <is>
          <t>▼ CIAC – Cornell  (Ithaca, NY, Oct 22-25, 2026)</t>
        </is>
      </c>
      <c r="B15" s="8" t="inlineStr"/>
      <c r="C15" s="8" t="inlineStr"/>
      <c r="D15" s="8" t="inlineStr"/>
      <c r="E15" s="8" t="inlineStr"/>
      <c r="F15" s="8" t="inlineStr"/>
    </row>
    <row r="16">
      <c r="A16" t="inlineStr">
        <is>
          <t xml:space="preserve">   Delegation fee</t>
        </is>
      </c>
      <c r="B16" t="inlineStr">
        <is>
          <t>flat</t>
        </is>
      </c>
      <c r="C16" t="inlineStr">
        <is>
          <t>$75 USD</t>
        </is>
      </c>
      <c r="D16" t="inlineStr">
        <is>
          <t>1</t>
        </is>
      </c>
      <c r="E16" t="inlineStr">
        <is>
          <t>$75</t>
        </is>
      </c>
      <c r="F16" t="inlineStr">
        <is>
          <t>$104</t>
        </is>
      </c>
    </row>
    <row r="17">
      <c r="A17" t="inlineStr">
        <is>
          <t xml:space="preserve">   Delegate fees</t>
        </is>
      </c>
      <c r="B17" t="inlineStr">
        <is>
          <t>8 billable</t>
        </is>
      </c>
      <c r="C17" t="inlineStr">
        <is>
          <t>$90 USD</t>
        </is>
      </c>
      <c r="D17" t="inlineStr">
        <is>
          <t>8</t>
        </is>
      </c>
      <c r="E17" t="inlineStr">
        <is>
          <t>$720</t>
        </is>
      </c>
      <c r="F17" t="inlineStr">
        <is>
          <t>$1,001</t>
        </is>
      </c>
    </row>
    <row r="18">
      <c r="A18" t="inlineStr">
        <is>
          <t xml:space="preserve">   Hotel</t>
        </is>
      </c>
      <c r="B18" t="inlineStr">
        <is>
          <t>2 rms x 3 nts</t>
        </is>
      </c>
      <c r="C18" t="inlineStr">
        <is>
          <t>$149 USD</t>
        </is>
      </c>
      <c r="D18" t="inlineStr">
        <is>
          <t>6</t>
        </is>
      </c>
      <c r="E18" t="inlineStr">
        <is>
          <t>$894</t>
        </is>
      </c>
      <c r="F18" t="inlineStr">
        <is>
          <t>$1,243</t>
        </is>
      </c>
    </row>
    <row r="19">
      <c r="A19" t="inlineStr">
        <is>
          <t xml:space="preserve">   Communauto Value+LongDist</t>
        </is>
      </c>
      <c r="B19" t="inlineStr">
        <is>
          <t>2 cars x $373/car</t>
        </is>
      </c>
      <c r="C19" t="inlineStr">
        <is>
          <t>gas incl</t>
        </is>
      </c>
      <c r="D19" t="inlineStr">
        <is>
          <t>2</t>
        </is>
      </c>
      <c r="E19" t="inlineStr">
        <is>
          <t>—</t>
        </is>
      </c>
      <c r="F19" t="inlineStr">
        <is>
          <t>$745</t>
        </is>
      </c>
    </row>
    <row r="20">
      <c r="A20" s="2" t="inlineStr">
        <is>
          <t xml:space="preserve">      (per car: $157 time + $143 km + $30 dmg, x13% HST)</t>
        </is>
      </c>
      <c r="B20" t="inlineStr"/>
      <c r="C20" t="inlineStr"/>
      <c r="D20" t="inlineStr"/>
      <c r="E20" t="inlineStr"/>
      <c r="F20" t="inlineStr"/>
    </row>
    <row r="21">
      <c r="A21" s="2" t="inlineStr">
        <is>
          <t xml:space="preserve">   Subtotal</t>
        </is>
      </c>
      <c r="B21" t="inlineStr"/>
      <c r="C21" t="inlineStr"/>
      <c r="D21" t="inlineStr"/>
      <c r="E21" t="inlineStr">
        <is>
          <t>$1,828</t>
        </is>
      </c>
      <c r="F21" t="inlineStr">
        <is>
          <t>$2,541</t>
        </is>
      </c>
    </row>
    <row r="22">
      <c r="A22" s="2" t="inlineStr">
        <is>
          <t xml:space="preserve">   Contingency 10%</t>
        </is>
      </c>
      <c r="B22" t="inlineStr"/>
      <c r="C22" t="inlineStr"/>
      <c r="D22" t="inlineStr"/>
      <c r="E22" t="inlineStr">
        <is>
          <t>$183</t>
        </is>
      </c>
      <c r="F22" t="inlineStr">
        <is>
          <t>$254</t>
        </is>
      </c>
    </row>
    <row r="23">
      <c r="A23" s="37" t="inlineStr">
        <is>
          <t xml:space="preserve">   TOTAL – CIAC – Cornell (DRIVE, 8 del)</t>
        </is>
      </c>
      <c r="B23" s="38" t="inlineStr"/>
      <c r="C23" s="38" t="inlineStr"/>
      <c r="D23" s="38" t="inlineStr"/>
      <c r="E23" s="38" t="inlineStr">
        <is>
          <t>$2,011</t>
        </is>
      </c>
      <c r="F23" s="38" t="inlineStr">
        <is>
          <t>$2,795</t>
        </is>
      </c>
    </row>
    <row r="24">
      <c r="A24" t="inlineStr"/>
      <c r="B24" t="inlineStr"/>
      <c r="C24" t="inlineStr"/>
      <c r="D24" t="inlineStr"/>
      <c r="E24" t="inlineStr"/>
      <c r="F24" t="inlineStr"/>
    </row>
    <row r="25">
      <c r="A25" s="8" t="inlineStr">
        <is>
          <t>▼ NCSC – Georgetown  (Washington, DC, Nov 5-8, 2026)</t>
        </is>
      </c>
      <c r="B25" s="8" t="inlineStr"/>
      <c r="C25" s="8" t="inlineStr"/>
      <c r="D25" s="8" t="inlineStr"/>
      <c r="E25" s="8" t="inlineStr"/>
      <c r="F25" s="8" t="inlineStr"/>
    </row>
    <row r="26">
      <c r="A26" t="inlineStr">
        <is>
          <t xml:space="preserve">   Delegation fee</t>
        </is>
      </c>
      <c r="B26" t="inlineStr">
        <is>
          <t>flat</t>
        </is>
      </c>
      <c r="C26" t="inlineStr">
        <is>
          <t>$90 USD</t>
        </is>
      </c>
      <c r="D26" t="inlineStr">
        <is>
          <t>1</t>
        </is>
      </c>
      <c r="E26" t="inlineStr">
        <is>
          <t>$90</t>
        </is>
      </c>
      <c r="F26" t="inlineStr">
        <is>
          <t>$125</t>
        </is>
      </c>
    </row>
    <row r="27">
      <c r="A27" t="inlineStr">
        <is>
          <t xml:space="preserve">   Delegate fees</t>
        </is>
      </c>
      <c r="B27" t="inlineStr">
        <is>
          <t>8 billable</t>
        </is>
      </c>
      <c r="C27" t="inlineStr">
        <is>
          <t>$110 USD</t>
        </is>
      </c>
      <c r="D27" t="inlineStr">
        <is>
          <t>8</t>
        </is>
      </c>
      <c r="E27" t="inlineStr">
        <is>
          <t>$880</t>
        </is>
      </c>
      <c r="F27" t="inlineStr">
        <is>
          <t>$1,223</t>
        </is>
      </c>
    </row>
    <row r="28">
      <c r="A28" t="inlineStr">
        <is>
          <t xml:space="preserve">   Hotel</t>
        </is>
      </c>
      <c r="B28" t="inlineStr">
        <is>
          <t>2 rms x 3 nts</t>
        </is>
      </c>
      <c r="C28" t="inlineStr">
        <is>
          <t>$366 USD</t>
        </is>
      </c>
      <c r="D28" t="inlineStr">
        <is>
          <t>6</t>
        </is>
      </c>
      <c r="E28" t="inlineStr">
        <is>
          <t>$2,196</t>
        </is>
      </c>
      <c r="F28" t="inlineStr">
        <is>
          <t>$3,052</t>
        </is>
      </c>
    </row>
    <row r="29">
      <c r="A29" t="inlineStr">
        <is>
          <t xml:space="preserve">   Communauto Value+LongDist</t>
        </is>
      </c>
      <c r="B29" t="inlineStr">
        <is>
          <t>2 cars x $637/car</t>
        </is>
      </c>
      <c r="C29" t="inlineStr">
        <is>
          <t>gas incl</t>
        </is>
      </c>
      <c r="D29" t="inlineStr">
        <is>
          <t>2</t>
        </is>
      </c>
      <c r="E29" t="inlineStr">
        <is>
          <t>—</t>
        </is>
      </c>
      <c r="F29" t="inlineStr">
        <is>
          <t>$1,273</t>
        </is>
      </c>
    </row>
    <row r="30">
      <c r="A30" s="2" t="inlineStr">
        <is>
          <t xml:space="preserve">      (per car: $194 time + $339 km + $30 dmg, x13% HST)</t>
        </is>
      </c>
      <c r="B30" t="inlineStr"/>
      <c r="C30" t="inlineStr"/>
      <c r="D30" t="inlineStr"/>
      <c r="E30" t="inlineStr"/>
      <c r="F30" t="inlineStr"/>
    </row>
    <row r="31">
      <c r="A31" s="2" t="inlineStr">
        <is>
          <t xml:space="preserve">   Subtotal</t>
        </is>
      </c>
      <c r="B31" t="inlineStr"/>
      <c r="C31" t="inlineStr"/>
      <c r="D31" t="inlineStr"/>
      <c r="E31" t="inlineStr">
        <is>
          <t>$4,082</t>
        </is>
      </c>
      <c r="F31" t="inlineStr">
        <is>
          <t>$5,674</t>
        </is>
      </c>
    </row>
    <row r="32">
      <c r="A32" s="2" t="inlineStr">
        <is>
          <t xml:space="preserve">   Contingency 10%</t>
        </is>
      </c>
      <c r="B32" t="inlineStr"/>
      <c r="C32" t="inlineStr"/>
      <c r="D32" t="inlineStr"/>
      <c r="E32" t="inlineStr">
        <is>
          <t>$408</t>
        </is>
      </c>
      <c r="F32" t="inlineStr">
        <is>
          <t>$567</t>
        </is>
      </c>
    </row>
    <row r="33">
      <c r="A33" s="37" t="inlineStr">
        <is>
          <t xml:space="preserve">   TOTAL – NCSC – Georgetown (DRIVE, 8 del)</t>
        </is>
      </c>
      <c r="B33" s="38" t="inlineStr"/>
      <c r="C33" s="38" t="inlineStr"/>
      <c r="D33" s="38" t="inlineStr"/>
      <c r="E33" s="38" t="inlineStr">
        <is>
          <t>$4,490</t>
        </is>
      </c>
      <c r="F33" s="38" t="inlineStr">
        <is>
          <t>$6,241</t>
        </is>
      </c>
    </row>
    <row r="34">
      <c r="A34" t="inlineStr"/>
      <c r="B34" t="inlineStr"/>
      <c r="C34" t="inlineStr"/>
      <c r="D34" t="inlineStr"/>
      <c r="E34" t="inlineStr"/>
      <c r="F34" t="inlineStr"/>
    </row>
    <row r="35">
      <c r="A35" s="8" t="inlineStr">
        <is>
          <t>▼ UNCMUNC – UNC  (Chapel Hill, NC, Nov 19-22, 2026)</t>
        </is>
      </c>
      <c r="B35" s="8" t="inlineStr"/>
      <c r="C35" s="8" t="inlineStr"/>
      <c r="D35" s="8" t="inlineStr"/>
      <c r="E35" s="8" t="inlineStr"/>
      <c r="F35" s="8" t="inlineStr"/>
    </row>
    <row r="36">
      <c r="A36" t="inlineStr">
        <is>
          <t xml:space="preserve">   Delegation fee</t>
        </is>
      </c>
      <c r="B36" t="inlineStr">
        <is>
          <t>flat</t>
        </is>
      </c>
      <c r="C36" t="inlineStr">
        <is>
          <t>$100 USD</t>
        </is>
      </c>
      <c r="D36" t="inlineStr">
        <is>
          <t>1</t>
        </is>
      </c>
      <c r="E36" t="inlineStr">
        <is>
          <t>$100</t>
        </is>
      </c>
      <c r="F36" t="inlineStr">
        <is>
          <t>$139</t>
        </is>
      </c>
    </row>
    <row r="37">
      <c r="A37" t="inlineStr">
        <is>
          <t xml:space="preserve">   Delegate fees</t>
        </is>
      </c>
      <c r="B37" t="inlineStr">
        <is>
          <t>8 billable</t>
        </is>
      </c>
      <c r="C37" t="inlineStr">
        <is>
          <t>$105 USD</t>
        </is>
      </c>
      <c r="D37" t="inlineStr">
        <is>
          <t>8</t>
        </is>
      </c>
      <c r="E37" t="inlineStr">
        <is>
          <t>$840</t>
        </is>
      </c>
      <c r="F37" t="inlineStr">
        <is>
          <t>$1,168</t>
        </is>
      </c>
    </row>
    <row r="38">
      <c r="A38" t="inlineStr">
        <is>
          <t xml:space="preserve">   Hotel</t>
        </is>
      </c>
      <c r="B38" t="inlineStr">
        <is>
          <t>2 rms x 3 nts</t>
        </is>
      </c>
      <c r="C38" t="inlineStr">
        <is>
          <t>$140 USD</t>
        </is>
      </c>
      <c r="D38" t="inlineStr">
        <is>
          <t>6</t>
        </is>
      </c>
      <c r="E38" t="inlineStr">
        <is>
          <t>$840</t>
        </is>
      </c>
      <c r="F38" t="inlineStr">
        <is>
          <t>$1,168</t>
        </is>
      </c>
    </row>
    <row r="39">
      <c r="A39" t="inlineStr">
        <is>
          <t xml:space="preserve">   Flights (RT YYZ)</t>
        </is>
      </c>
      <c r="B39" t="inlineStr">
        <is>
          <t>8 delegates</t>
        </is>
      </c>
      <c r="C39" t="inlineStr">
        <is>
          <t>$425 USD</t>
        </is>
      </c>
      <c r="D39" t="inlineStr">
        <is>
          <t>8</t>
        </is>
      </c>
      <c r="E39" t="inlineStr">
        <is>
          <t>$3,400</t>
        </is>
      </c>
      <c r="F39" t="inlineStr">
        <is>
          <t>$4,726</t>
        </is>
      </c>
    </row>
    <row r="40">
      <c r="A40" t="inlineStr">
        <is>
          <t xml:space="preserve">   Ground (KGN&lt;&gt;YYZ + xfer)</t>
        </is>
      </c>
      <c r="B40" t="inlineStr">
        <is>
          <t>flat</t>
        </is>
      </c>
      <c r="C40" t="inlineStr">
        <is>
          <t>—</t>
        </is>
      </c>
      <c r="D40" t="inlineStr">
        <is>
          <t>—</t>
        </is>
      </c>
      <c r="E40" t="inlineStr">
        <is>
          <t>~$612</t>
        </is>
      </c>
      <c r="F40" t="inlineStr">
        <is>
          <t>$850</t>
        </is>
      </c>
    </row>
    <row r="41">
      <c r="A41" s="2" t="inlineStr">
        <is>
          <t xml:space="preserve">   Subtotal</t>
        </is>
      </c>
      <c r="B41" t="inlineStr"/>
      <c r="C41" t="inlineStr"/>
      <c r="D41" t="inlineStr"/>
      <c r="E41" t="inlineStr">
        <is>
          <t>$5,792</t>
        </is>
      </c>
      <c r="F41" t="inlineStr">
        <is>
          <t>$8,050</t>
        </is>
      </c>
    </row>
    <row r="42">
      <c r="A42" s="2" t="inlineStr">
        <is>
          <t xml:space="preserve">   Contingency 10%</t>
        </is>
      </c>
      <c r="B42" t="inlineStr"/>
      <c r="C42" t="inlineStr"/>
      <c r="D42" t="inlineStr"/>
      <c r="E42" t="inlineStr">
        <is>
          <t>$579</t>
        </is>
      </c>
      <c r="F42" t="inlineStr">
        <is>
          <t>$805</t>
        </is>
      </c>
    </row>
    <row r="43">
      <c r="A43" s="37" t="inlineStr">
        <is>
          <t xml:space="preserve">   TOTAL – UNCMUNC – UNC (FLY, 8 del)</t>
        </is>
      </c>
      <c r="B43" s="38" t="inlineStr"/>
      <c r="C43" s="38" t="inlineStr"/>
      <c r="D43" s="38" t="inlineStr"/>
      <c r="E43" s="38" t="inlineStr">
        <is>
          <t>$6,371</t>
        </is>
      </c>
      <c r="F43" s="38" t="inlineStr">
        <is>
          <t>$8,855</t>
        </is>
      </c>
    </row>
    <row r="44">
      <c r="A44" t="inlineStr"/>
      <c r="B44" t="inlineStr"/>
      <c r="C44" t="inlineStr"/>
      <c r="D44" t="inlineStr"/>
      <c r="E44" t="inlineStr"/>
      <c r="F44" t="inlineStr"/>
    </row>
    <row r="45">
      <c r="A45" s="39" t="inlineStr">
        <is>
          <t>▼ McMUN – McGill  (Montreal, QC, Jan 28-31, 2027)  [FIXED 20 DEL]</t>
        </is>
      </c>
      <c r="B45" s="39" t="inlineStr"/>
      <c r="C45" s="39" t="inlineStr"/>
      <c r="D45" s="39" t="inlineStr"/>
      <c r="E45" s="39" t="inlineStr"/>
      <c r="F45" s="39" t="inlineStr"/>
    </row>
    <row r="46">
      <c r="A46" t="inlineStr">
        <is>
          <t xml:space="preserve">   Delegation fee</t>
        </is>
      </c>
      <c r="B46" t="inlineStr">
        <is>
          <t>flat</t>
        </is>
      </c>
      <c r="C46" t="inlineStr">
        <is>
          <t>$80 CAD</t>
        </is>
      </c>
      <c r="D46" t="inlineStr">
        <is>
          <t>1</t>
        </is>
      </c>
      <c r="E46" t="inlineStr">
        <is>
          <t>$58</t>
        </is>
      </c>
      <c r="F46" t="inlineStr">
        <is>
          <t>$80</t>
        </is>
      </c>
    </row>
    <row r="47">
      <c r="A47" t="inlineStr">
        <is>
          <t xml:space="preserve">   Delegate fees</t>
        </is>
      </c>
      <c r="B47" t="inlineStr">
        <is>
          <t>20 billable</t>
        </is>
      </c>
      <c r="C47" t="inlineStr">
        <is>
          <t>$125 CAD</t>
        </is>
      </c>
      <c r="D47" t="inlineStr">
        <is>
          <t>20</t>
        </is>
      </c>
      <c r="E47" t="inlineStr">
        <is>
          <t>$1,799</t>
        </is>
      </c>
      <c r="F47" t="inlineStr">
        <is>
          <t>$2,500</t>
        </is>
      </c>
    </row>
    <row r="48">
      <c r="A48" t="inlineStr">
        <is>
          <t xml:space="preserve">   Hotel</t>
        </is>
      </c>
      <c r="B48" t="inlineStr">
        <is>
          <t>5 rms x 3 nts</t>
        </is>
      </c>
      <c r="C48" t="inlineStr">
        <is>
          <t>$234 CAD</t>
        </is>
      </c>
      <c r="D48" t="inlineStr">
        <is>
          <t>15</t>
        </is>
      </c>
      <c r="E48" t="inlineStr">
        <is>
          <t>$2,525</t>
        </is>
      </c>
      <c r="F48" t="inlineStr">
        <is>
          <t>$3,510</t>
        </is>
      </c>
    </row>
    <row r="49">
      <c r="A49" t="inlineStr">
        <is>
          <t xml:space="preserve">   Megabus RT (Kingston&lt;&gt;Montreal)</t>
        </is>
      </c>
      <c r="B49" t="inlineStr">
        <is>
          <t>20 delegates</t>
        </is>
      </c>
      <c r="C49" t="inlineStr">
        <is>
          <t>$110 CAD</t>
        </is>
      </c>
      <c r="D49" t="inlineStr">
        <is>
          <t>20</t>
        </is>
      </c>
      <c r="E49" t="inlineStr">
        <is>
          <t>$1,583</t>
        </is>
      </c>
      <c r="F49" t="inlineStr">
        <is>
          <t>$2,200</t>
        </is>
      </c>
    </row>
    <row r="50">
      <c r="A50" s="2" t="inlineStr">
        <is>
          <t xml:space="preserve">   Subtotal</t>
        </is>
      </c>
      <c r="B50" t="inlineStr"/>
      <c r="C50" t="inlineStr"/>
      <c r="D50" t="inlineStr"/>
      <c r="E50" t="inlineStr">
        <is>
          <t>$5,964</t>
        </is>
      </c>
      <c r="F50" t="inlineStr">
        <is>
          <t>$8,290</t>
        </is>
      </c>
    </row>
    <row r="51">
      <c r="A51" s="2" t="inlineStr">
        <is>
          <t xml:space="preserve">   Contingency 10%</t>
        </is>
      </c>
      <c r="B51" t="inlineStr"/>
      <c r="C51" t="inlineStr"/>
      <c r="D51" t="inlineStr"/>
      <c r="E51" t="inlineStr">
        <is>
          <t>$596</t>
        </is>
      </c>
      <c r="F51" t="inlineStr">
        <is>
          <t>$829</t>
        </is>
      </c>
    </row>
    <row r="52">
      <c r="A52" s="37" t="inlineStr">
        <is>
          <t xml:space="preserve">   TOTAL – McMUN – McGill (BUS, 20 del)</t>
        </is>
      </c>
      <c r="B52" s="38" t="inlineStr"/>
      <c r="C52" s="38" t="inlineStr"/>
      <c r="D52" s="38" t="inlineStr"/>
      <c r="E52" s="38" t="inlineStr">
        <is>
          <t>$6,560</t>
        </is>
      </c>
      <c r="F52" s="38" t="inlineStr">
        <is>
          <t>$9,119</t>
        </is>
      </c>
    </row>
    <row r="53">
      <c r="A53" t="inlineStr"/>
      <c r="B53" t="inlineStr"/>
      <c r="C53" t="inlineStr"/>
      <c r="D53" t="inlineStr"/>
      <c r="E53" t="inlineStr"/>
      <c r="F53" t="inlineStr"/>
    </row>
    <row r="54">
      <c r="A54" s="8" t="inlineStr">
        <is>
          <t>▼ BUCKMUN – Ohio State  (Columbus, OH, Feb 4-7, 2027)</t>
        </is>
      </c>
      <c r="B54" s="8" t="inlineStr"/>
      <c r="C54" s="8" t="inlineStr"/>
      <c r="D54" s="8" t="inlineStr"/>
      <c r="E54" s="8" t="inlineStr"/>
      <c r="F54" s="8" t="inlineStr"/>
    </row>
    <row r="55">
      <c r="A55" t="inlineStr">
        <is>
          <t xml:space="preserve">   Delegation fee</t>
        </is>
      </c>
      <c r="B55" t="inlineStr">
        <is>
          <t>flat</t>
        </is>
      </c>
      <c r="C55" t="inlineStr">
        <is>
          <t>$75 USD</t>
        </is>
      </c>
      <c r="D55" t="inlineStr">
        <is>
          <t>1</t>
        </is>
      </c>
      <c r="E55" t="inlineStr">
        <is>
          <t>$75</t>
        </is>
      </c>
      <c r="F55" t="inlineStr">
        <is>
          <t>$104</t>
        </is>
      </c>
    </row>
    <row r="56">
      <c r="A56" t="inlineStr">
        <is>
          <t xml:space="preserve">   Delegate fees</t>
        </is>
      </c>
      <c r="B56" t="inlineStr">
        <is>
          <t>8 billable</t>
        </is>
      </c>
      <c r="C56" t="inlineStr">
        <is>
          <t>$75 USD</t>
        </is>
      </c>
      <c r="D56" t="inlineStr">
        <is>
          <t>8</t>
        </is>
      </c>
      <c r="E56" t="inlineStr">
        <is>
          <t>$600</t>
        </is>
      </c>
      <c r="F56" t="inlineStr">
        <is>
          <t>$834</t>
        </is>
      </c>
    </row>
    <row r="57">
      <c r="A57" t="inlineStr">
        <is>
          <t xml:space="preserve">   Hotel</t>
        </is>
      </c>
      <c r="B57" t="inlineStr">
        <is>
          <t>2 rms x 3 nts</t>
        </is>
      </c>
      <c r="C57" t="inlineStr">
        <is>
          <t>$150 USD</t>
        </is>
      </c>
      <c r="D57" t="inlineStr">
        <is>
          <t>6</t>
        </is>
      </c>
      <c r="E57" t="inlineStr">
        <is>
          <t>$900</t>
        </is>
      </c>
      <c r="F57" t="inlineStr">
        <is>
          <t>$1,251</t>
        </is>
      </c>
    </row>
    <row r="58">
      <c r="A58" t="inlineStr">
        <is>
          <t xml:space="preserve">   Communauto Value+LongDist</t>
        </is>
      </c>
      <c r="B58" t="inlineStr">
        <is>
          <t>2 cars x $725/car</t>
        </is>
      </c>
      <c r="C58" t="inlineStr">
        <is>
          <t>gas incl</t>
        </is>
      </c>
      <c r="D58" t="inlineStr">
        <is>
          <t>2</t>
        </is>
      </c>
      <c r="E58" t="inlineStr">
        <is>
          <t>—</t>
        </is>
      </c>
      <c r="F58" t="inlineStr">
        <is>
          <t>$1,450</t>
        </is>
      </c>
    </row>
    <row r="59">
      <c r="A59" s="2" t="inlineStr">
        <is>
          <t xml:space="preserve">      (per car: $220 time + $391 km + $30 dmg, x13% HST)</t>
        </is>
      </c>
      <c r="B59" t="inlineStr"/>
      <c r="C59" t="inlineStr"/>
      <c r="D59" t="inlineStr"/>
      <c r="E59" t="inlineStr"/>
      <c r="F59" t="inlineStr"/>
    </row>
    <row r="60">
      <c r="A60" s="2" t="inlineStr">
        <is>
          <t xml:space="preserve">   Subtotal</t>
        </is>
      </c>
      <c r="B60" t="inlineStr"/>
      <c r="C60" t="inlineStr"/>
      <c r="D60" t="inlineStr"/>
      <c r="E60" t="inlineStr">
        <is>
          <t>$2,618</t>
        </is>
      </c>
      <c r="F60" t="inlineStr">
        <is>
          <t>$3,639</t>
        </is>
      </c>
    </row>
    <row r="61">
      <c r="A61" s="2" t="inlineStr">
        <is>
          <t xml:space="preserve">   Contingency 10%</t>
        </is>
      </c>
      <c r="B61" t="inlineStr"/>
      <c r="C61" t="inlineStr"/>
      <c r="D61" t="inlineStr"/>
      <c r="E61" t="inlineStr">
        <is>
          <t>$262</t>
        </is>
      </c>
      <c r="F61" t="inlineStr">
        <is>
          <t>$364</t>
        </is>
      </c>
    </row>
    <row r="62">
      <c r="A62" s="37" t="inlineStr">
        <is>
          <t xml:space="preserve">   TOTAL – BUCKMUN – Ohio State (DRIVE, 8 del)</t>
        </is>
      </c>
      <c r="B62" s="38" t="inlineStr"/>
      <c r="C62" s="38" t="inlineStr"/>
      <c r="D62" s="38" t="inlineStr"/>
      <c r="E62" s="38" t="inlineStr">
        <is>
          <t>$2,880</t>
        </is>
      </c>
      <c r="F62" s="38" t="inlineStr">
        <is>
          <t>$4,003</t>
        </is>
      </c>
    </row>
    <row r="63">
      <c r="A63" t="inlineStr"/>
      <c r="B63" t="inlineStr"/>
      <c r="C63" t="inlineStr"/>
      <c r="D63" t="inlineStr"/>
      <c r="E63" t="inlineStr"/>
      <c r="F63" t="inlineStr"/>
    </row>
    <row r="64">
      <c r="A64" s="8" t="inlineStr">
        <is>
          <t>▼ RevMUNC – GW  (Washington, DC, Feb 18-21, 2027)</t>
        </is>
      </c>
      <c r="B64" s="8" t="inlineStr"/>
      <c r="C64" s="8" t="inlineStr"/>
      <c r="D64" s="8" t="inlineStr"/>
      <c r="E64" s="8" t="inlineStr"/>
      <c r="F64" s="8" t="inlineStr"/>
    </row>
    <row r="65">
      <c r="A65" t="inlineStr">
        <is>
          <t xml:space="preserve">   Delegation fee</t>
        </is>
      </c>
      <c r="B65" t="inlineStr">
        <is>
          <t>flat</t>
        </is>
      </c>
      <c r="C65" t="inlineStr">
        <is>
          <t>$60 USD</t>
        </is>
      </c>
      <c r="D65" t="inlineStr">
        <is>
          <t>1</t>
        </is>
      </c>
      <c r="E65" t="inlineStr">
        <is>
          <t>$60</t>
        </is>
      </c>
      <c r="F65" t="inlineStr">
        <is>
          <t>$83</t>
        </is>
      </c>
    </row>
    <row r="66">
      <c r="A66" t="inlineStr">
        <is>
          <t xml:space="preserve">   Delegate fees</t>
        </is>
      </c>
      <c r="B66" t="inlineStr">
        <is>
          <t>8 billable</t>
        </is>
      </c>
      <c r="C66" t="inlineStr">
        <is>
          <t>$70 USD</t>
        </is>
      </c>
      <c r="D66" t="inlineStr">
        <is>
          <t>8</t>
        </is>
      </c>
      <c r="E66" t="inlineStr">
        <is>
          <t>$560</t>
        </is>
      </c>
      <c r="F66" t="inlineStr">
        <is>
          <t>$778</t>
        </is>
      </c>
    </row>
    <row r="67">
      <c r="A67" t="inlineStr">
        <is>
          <t xml:space="preserve">   Hotel</t>
        </is>
      </c>
      <c r="B67" t="inlineStr">
        <is>
          <t>2 rms x 3 nts</t>
        </is>
      </c>
      <c r="C67" t="inlineStr">
        <is>
          <t>$230 USD</t>
        </is>
      </c>
      <c r="D67" t="inlineStr">
        <is>
          <t>6</t>
        </is>
      </c>
      <c r="E67" t="inlineStr">
        <is>
          <t>$1,380</t>
        </is>
      </c>
      <c r="F67" t="inlineStr">
        <is>
          <t>$1,918</t>
        </is>
      </c>
    </row>
    <row r="68">
      <c r="A68" t="inlineStr">
        <is>
          <t xml:space="preserve">   Communauto Value+LongDist</t>
        </is>
      </c>
      <c r="B68" t="inlineStr">
        <is>
          <t>2 cars x $637/car</t>
        </is>
      </c>
      <c r="C68" t="inlineStr">
        <is>
          <t>gas incl</t>
        </is>
      </c>
      <c r="D68" t="inlineStr">
        <is>
          <t>2</t>
        </is>
      </c>
      <c r="E68" t="inlineStr">
        <is>
          <t>—</t>
        </is>
      </c>
      <c r="F68" t="inlineStr">
        <is>
          <t>$1,273</t>
        </is>
      </c>
    </row>
    <row r="69">
      <c r="A69" s="2" t="inlineStr">
        <is>
          <t xml:space="preserve">      (per car: $194 time + $339 km + $30 dmg, x13% HST)</t>
        </is>
      </c>
      <c r="B69" t="inlineStr"/>
      <c r="C69" t="inlineStr"/>
      <c r="D69" t="inlineStr"/>
      <c r="E69" t="inlineStr"/>
      <c r="F69" t="inlineStr"/>
    </row>
    <row r="70">
      <c r="A70" s="2" t="inlineStr">
        <is>
          <t xml:space="preserve">   Subtotal</t>
        </is>
      </c>
      <c r="B70" t="inlineStr"/>
      <c r="C70" t="inlineStr"/>
      <c r="D70" t="inlineStr"/>
      <c r="E70" t="inlineStr">
        <is>
          <t>$2,916</t>
        </is>
      </c>
      <c r="F70" t="inlineStr">
        <is>
          <t>$4,053</t>
        </is>
      </c>
    </row>
    <row r="71">
      <c r="A71" s="2" t="inlineStr">
        <is>
          <t xml:space="preserve">   Contingency 10%</t>
        </is>
      </c>
      <c r="B71" t="inlineStr"/>
      <c r="C71" t="inlineStr"/>
      <c r="D71" t="inlineStr"/>
      <c r="E71" t="inlineStr">
        <is>
          <t>$292</t>
        </is>
      </c>
      <c r="F71" t="inlineStr">
        <is>
          <t>$405</t>
        </is>
      </c>
    </row>
    <row r="72">
      <c r="A72" s="37" t="inlineStr">
        <is>
          <t xml:space="preserve">   TOTAL – RevMUNC – GW (DRIVE, 8 del)</t>
        </is>
      </c>
      <c r="B72" s="38" t="inlineStr"/>
      <c r="C72" s="38" t="inlineStr"/>
      <c r="D72" s="38" t="inlineStr"/>
      <c r="E72" s="38" t="inlineStr">
        <is>
          <t>$3,207</t>
        </is>
      </c>
      <c r="F72" s="38" t="inlineStr">
        <is>
          <t>$4,458</t>
        </is>
      </c>
    </row>
    <row r="73">
      <c r="A73" t="inlineStr"/>
      <c r="B73" t="inlineStr"/>
      <c r="C73" t="inlineStr"/>
      <c r="D73" t="inlineStr"/>
      <c r="E73" t="inlineStr"/>
      <c r="F73" t="inlineStr"/>
    </row>
    <row r="74">
      <c r="A74" s="39" t="inlineStr">
        <is>
          <t>▼ ConMUN – Concordia  (Montreal, QC, ~Mar 11-14, 2027)  [FIXED 20 DEL]</t>
        </is>
      </c>
      <c r="B74" s="39" t="inlineStr"/>
      <c r="C74" s="39" t="inlineStr"/>
      <c r="D74" s="39" t="inlineStr"/>
      <c r="E74" s="39" t="inlineStr"/>
      <c r="F74" s="39" t="inlineStr"/>
    </row>
    <row r="75">
      <c r="A75" t="inlineStr">
        <is>
          <t xml:space="preserve">   Delegation fee</t>
        </is>
      </c>
      <c r="B75" t="inlineStr">
        <is>
          <t>flat</t>
        </is>
      </c>
      <c r="C75" t="inlineStr">
        <is>
          <t>$100 CAD</t>
        </is>
      </c>
      <c r="D75" t="inlineStr">
        <is>
          <t>1</t>
        </is>
      </c>
      <c r="E75" t="inlineStr">
        <is>
          <t>$72</t>
        </is>
      </c>
      <c r="F75" t="inlineStr">
        <is>
          <t>$100</t>
        </is>
      </c>
    </row>
    <row r="76">
      <c r="A76" t="inlineStr">
        <is>
          <t xml:space="preserve">   Delegate fees</t>
        </is>
      </c>
      <c r="B76" t="inlineStr">
        <is>
          <t>20 billable</t>
        </is>
      </c>
      <c r="C76" t="inlineStr">
        <is>
          <t>$125 CAD</t>
        </is>
      </c>
      <c r="D76" t="inlineStr">
        <is>
          <t>20</t>
        </is>
      </c>
      <c r="E76" t="inlineStr">
        <is>
          <t>$1,799</t>
        </is>
      </c>
      <c r="F76" t="inlineStr">
        <is>
          <t>$2,500</t>
        </is>
      </c>
    </row>
    <row r="77">
      <c r="A77" t="inlineStr">
        <is>
          <t xml:space="preserve">   Hotel</t>
        </is>
      </c>
      <c r="B77" t="inlineStr">
        <is>
          <t>5 rms x 3 nts</t>
        </is>
      </c>
      <c r="C77" t="inlineStr">
        <is>
          <t>$229 CAD</t>
        </is>
      </c>
      <c r="D77" t="inlineStr">
        <is>
          <t>15</t>
        </is>
      </c>
      <c r="E77" t="inlineStr">
        <is>
          <t>$2,471</t>
        </is>
      </c>
      <c r="F77" t="inlineStr">
        <is>
          <t>$3,435</t>
        </is>
      </c>
    </row>
    <row r="78">
      <c r="A78" t="inlineStr">
        <is>
          <t xml:space="preserve">   Megabus RT (Kingston&lt;&gt;Montreal)</t>
        </is>
      </c>
      <c r="B78" t="inlineStr">
        <is>
          <t>20 delegates</t>
        </is>
      </c>
      <c r="C78" t="inlineStr">
        <is>
          <t>$110 CAD</t>
        </is>
      </c>
      <c r="D78" t="inlineStr">
        <is>
          <t>20</t>
        </is>
      </c>
      <c r="E78" t="inlineStr">
        <is>
          <t>$1,583</t>
        </is>
      </c>
      <c r="F78" t="inlineStr">
        <is>
          <t>$2,200</t>
        </is>
      </c>
    </row>
    <row r="79">
      <c r="A79" s="2" t="inlineStr">
        <is>
          <t xml:space="preserve">   Subtotal</t>
        </is>
      </c>
      <c r="B79" t="inlineStr"/>
      <c r="C79" t="inlineStr"/>
      <c r="D79" t="inlineStr"/>
      <c r="E79" t="inlineStr">
        <is>
          <t>$5,924</t>
        </is>
      </c>
      <c r="F79" t="inlineStr">
        <is>
          <t>$8,235</t>
        </is>
      </c>
    </row>
    <row r="80">
      <c r="A80" s="2" t="inlineStr">
        <is>
          <t xml:space="preserve">   Contingency 10%</t>
        </is>
      </c>
      <c r="B80" t="inlineStr"/>
      <c r="C80" t="inlineStr"/>
      <c r="D80" t="inlineStr"/>
      <c r="E80" t="inlineStr">
        <is>
          <t>$592</t>
        </is>
      </c>
      <c r="F80" t="inlineStr">
        <is>
          <t>$824</t>
        </is>
      </c>
    </row>
    <row r="81">
      <c r="A81" s="37" t="inlineStr">
        <is>
          <t xml:space="preserve">   TOTAL – ConMUN – Concordia (BUS, 20 del)</t>
        </is>
      </c>
      <c r="B81" s="38" t="inlineStr"/>
      <c r="C81" s="38" t="inlineStr"/>
      <c r="D81" s="38" t="inlineStr"/>
      <c r="E81" s="38" t="inlineStr">
        <is>
          <t>$6,517</t>
        </is>
      </c>
      <c r="F81" s="38" t="inlineStr">
        <is>
          <t>$9,058</t>
        </is>
      </c>
    </row>
    <row r="82">
      <c r="A82" t="inlineStr"/>
      <c r="B82" t="inlineStr"/>
      <c r="C82" t="inlineStr"/>
      <c r="D82" t="inlineStr"/>
      <c r="E82" t="inlineStr"/>
      <c r="F82" t="inlineStr"/>
    </row>
    <row r="83">
      <c r="A83" s="8" t="inlineStr">
        <is>
          <t>▼ ChoMUN – UChicago  (Chicago, IL, Mar 25-28, 2027)</t>
        </is>
      </c>
      <c r="B83" s="8" t="inlineStr"/>
      <c r="C83" s="8" t="inlineStr"/>
      <c r="D83" s="8" t="inlineStr"/>
      <c r="E83" s="8" t="inlineStr"/>
      <c r="F83" s="8" t="inlineStr"/>
    </row>
    <row r="84">
      <c r="A84" t="inlineStr">
        <is>
          <t xml:space="preserve">   Delegation fee</t>
        </is>
      </c>
      <c r="B84" t="inlineStr">
        <is>
          <t>flat</t>
        </is>
      </c>
      <c r="C84" t="inlineStr">
        <is>
          <t>$50 USD</t>
        </is>
      </c>
      <c r="D84" t="inlineStr">
        <is>
          <t>1</t>
        </is>
      </c>
      <c r="E84" t="inlineStr">
        <is>
          <t>$50</t>
        </is>
      </c>
      <c r="F84" t="inlineStr">
        <is>
          <t>$70</t>
        </is>
      </c>
    </row>
    <row r="85">
      <c r="A85" t="inlineStr">
        <is>
          <t xml:space="preserve">   Delegate fees</t>
        </is>
      </c>
      <c r="B85" t="inlineStr">
        <is>
          <t>8 billable</t>
        </is>
      </c>
      <c r="C85" t="inlineStr">
        <is>
          <t>$110 USD</t>
        </is>
      </c>
      <c r="D85" t="inlineStr">
        <is>
          <t>8</t>
        </is>
      </c>
      <c r="E85" t="inlineStr">
        <is>
          <t>$880</t>
        </is>
      </c>
      <c r="F85" t="inlineStr">
        <is>
          <t>$1,223</t>
        </is>
      </c>
    </row>
    <row r="86">
      <c r="A86" t="inlineStr">
        <is>
          <t xml:space="preserve">   Hotel</t>
        </is>
      </c>
      <c r="B86" t="inlineStr">
        <is>
          <t>2 rms x 3 nts</t>
        </is>
      </c>
      <c r="C86" t="inlineStr">
        <is>
          <t>$201 USD</t>
        </is>
      </c>
      <c r="D86" t="inlineStr">
        <is>
          <t>6</t>
        </is>
      </c>
      <c r="E86" t="inlineStr">
        <is>
          <t>$1,206</t>
        </is>
      </c>
      <c r="F86" t="inlineStr">
        <is>
          <t>$1,676</t>
        </is>
      </c>
    </row>
    <row r="87">
      <c r="A87" t="inlineStr">
        <is>
          <t xml:space="preserve">   Communauto Value+LongDist</t>
        </is>
      </c>
      <c r="B87" t="inlineStr">
        <is>
          <t>2 cars x $784/car</t>
        </is>
      </c>
      <c r="C87" t="inlineStr">
        <is>
          <t>gas incl</t>
        </is>
      </c>
      <c r="D87" t="inlineStr">
        <is>
          <t>2</t>
        </is>
      </c>
      <c r="E87" t="inlineStr">
        <is>
          <t>—</t>
        </is>
      </c>
      <c r="F87" t="inlineStr">
        <is>
          <t>$1,567</t>
        </is>
      </c>
    </row>
    <row r="88">
      <c r="A88" s="2" t="inlineStr">
        <is>
          <t xml:space="preserve">      (per car: $220 time + $443 km + $30 dmg, x13% HST)</t>
        </is>
      </c>
      <c r="B88" t="inlineStr"/>
      <c r="C88" t="inlineStr"/>
      <c r="D88" t="inlineStr"/>
      <c r="E88" t="inlineStr"/>
      <c r="F88" t="inlineStr"/>
    </row>
    <row r="89">
      <c r="A89" s="2" t="inlineStr">
        <is>
          <t xml:space="preserve">   Subtotal</t>
        </is>
      </c>
      <c r="B89" t="inlineStr"/>
      <c r="C89" t="inlineStr"/>
      <c r="D89" t="inlineStr"/>
      <c r="E89" t="inlineStr">
        <is>
          <t>$3,263</t>
        </is>
      </c>
      <c r="F89" t="inlineStr">
        <is>
          <t>$4,536</t>
        </is>
      </c>
    </row>
    <row r="90">
      <c r="A90" s="2" t="inlineStr">
        <is>
          <t xml:space="preserve">   Contingency 10%</t>
        </is>
      </c>
      <c r="B90" t="inlineStr"/>
      <c r="C90" t="inlineStr"/>
      <c r="D90" t="inlineStr"/>
      <c r="E90" t="inlineStr">
        <is>
          <t>$326</t>
        </is>
      </c>
      <c r="F90" t="inlineStr">
        <is>
          <t>$454</t>
        </is>
      </c>
    </row>
    <row r="91">
      <c r="A91" s="37" t="inlineStr">
        <is>
          <t xml:space="preserve">   TOTAL – ChoMUN – UChicago (DRIVE, 8 del)</t>
        </is>
      </c>
      <c r="B91" s="38" t="inlineStr"/>
      <c r="C91" s="38" t="inlineStr"/>
      <c r="D91" s="38" t="inlineStr"/>
      <c r="E91" s="38" t="inlineStr">
        <is>
          <t>$3,590</t>
        </is>
      </c>
      <c r="F91" s="38" t="inlineStr">
        <is>
          <t>$4,990</t>
        </is>
      </c>
    </row>
    <row r="92">
      <c r="A92" t="inlineStr"/>
      <c r="B92" t="inlineStr"/>
      <c r="C92" t="inlineStr"/>
      <c r="D92" t="inlineStr"/>
      <c r="E92" t="inlineStr"/>
      <c r="F92" t="inlineStr"/>
    </row>
    <row r="93">
      <c r="A93" s="8" t="inlineStr">
        <is>
          <t>▼ VICS – UVA  (Charlottesville, VA, ~Mar 25-28, 2027)</t>
        </is>
      </c>
      <c r="B93" s="8" t="inlineStr"/>
      <c r="C93" s="8" t="inlineStr"/>
      <c r="D93" s="8" t="inlineStr"/>
      <c r="E93" s="8" t="inlineStr"/>
      <c r="F93" s="8" t="inlineStr"/>
    </row>
    <row r="94">
      <c r="A94" t="inlineStr">
        <is>
          <t xml:space="preserve">   Delegation fee</t>
        </is>
      </c>
      <c r="B94" t="inlineStr">
        <is>
          <t>flat</t>
        </is>
      </c>
      <c r="C94" t="inlineStr">
        <is>
          <t>$85 USD</t>
        </is>
      </c>
      <c r="D94" t="inlineStr">
        <is>
          <t>1</t>
        </is>
      </c>
      <c r="E94" t="inlineStr">
        <is>
          <t>$85</t>
        </is>
      </c>
      <c r="F94" t="inlineStr">
        <is>
          <t>$118</t>
        </is>
      </c>
    </row>
    <row r="95">
      <c r="A95" t="inlineStr">
        <is>
          <t xml:space="preserve">   Delegate fees</t>
        </is>
      </c>
      <c r="B95" t="inlineStr">
        <is>
          <t>8 billable</t>
        </is>
      </c>
      <c r="C95" t="inlineStr">
        <is>
          <t>$105 USD</t>
        </is>
      </c>
      <c r="D95" t="inlineStr">
        <is>
          <t>8</t>
        </is>
      </c>
      <c r="E95" t="inlineStr">
        <is>
          <t>$840</t>
        </is>
      </c>
      <c r="F95" t="inlineStr">
        <is>
          <t>$1,168</t>
        </is>
      </c>
    </row>
    <row r="96">
      <c r="A96" t="inlineStr">
        <is>
          <t xml:space="preserve">   Hotel</t>
        </is>
      </c>
      <c r="B96" t="inlineStr">
        <is>
          <t>2 rms x 3 nts</t>
        </is>
      </c>
      <c r="C96" t="inlineStr">
        <is>
          <t>$189 USD</t>
        </is>
      </c>
      <c r="D96" t="inlineStr">
        <is>
          <t>6</t>
        </is>
      </c>
      <c r="E96" t="inlineStr">
        <is>
          <t>$1,134</t>
        </is>
      </c>
      <c r="F96" t="inlineStr">
        <is>
          <t>$1,576</t>
        </is>
      </c>
    </row>
    <row r="97">
      <c r="A97" t="inlineStr">
        <is>
          <t xml:space="preserve">   Communauto Value+LongDist</t>
        </is>
      </c>
      <c r="B97" t="inlineStr">
        <is>
          <t>2 cars x $746/car</t>
        </is>
      </c>
      <c r="C97" t="inlineStr">
        <is>
          <t>gas incl</t>
        </is>
      </c>
      <c r="D97" t="inlineStr">
        <is>
          <t>2</t>
        </is>
      </c>
      <c r="E97" t="inlineStr">
        <is>
          <t>—</t>
        </is>
      </c>
      <c r="F97" t="inlineStr">
        <is>
          <t>$1,492</t>
        </is>
      </c>
    </row>
    <row r="98">
      <c r="A98" s="2" t="inlineStr">
        <is>
          <t xml:space="preserve">      (per car: $220 time + $410 km + $30 dmg, x13% HST)</t>
        </is>
      </c>
      <c r="B98" t="inlineStr"/>
      <c r="C98" t="inlineStr"/>
      <c r="D98" t="inlineStr"/>
      <c r="E98" t="inlineStr"/>
      <c r="F98" t="inlineStr"/>
    </row>
    <row r="99">
      <c r="A99" s="2" t="inlineStr">
        <is>
          <t xml:space="preserve">   Subtotal</t>
        </is>
      </c>
      <c r="B99" t="inlineStr"/>
      <c r="C99" t="inlineStr"/>
      <c r="D99" t="inlineStr"/>
      <c r="E99" t="inlineStr">
        <is>
          <t>$3,132</t>
        </is>
      </c>
      <c r="F99" t="inlineStr">
        <is>
          <t>$4,354</t>
        </is>
      </c>
    </row>
    <row r="100">
      <c r="A100" s="2" t="inlineStr">
        <is>
          <t xml:space="preserve">   Contingency 10%</t>
        </is>
      </c>
      <c r="B100" t="inlineStr"/>
      <c r="C100" t="inlineStr"/>
      <c r="D100" t="inlineStr"/>
      <c r="E100" t="inlineStr">
        <is>
          <t>$313</t>
        </is>
      </c>
      <c r="F100" t="inlineStr">
        <is>
          <t>$435</t>
        </is>
      </c>
    </row>
    <row r="101">
      <c r="A101" s="37" t="inlineStr">
        <is>
          <t xml:space="preserve">   TOTAL – VICS – UVA (DRIVE, 8 del)</t>
        </is>
      </c>
      <c r="B101" s="38" t="inlineStr"/>
      <c r="C101" s="38" t="inlineStr"/>
      <c r="D101" s="38" t="inlineStr"/>
      <c r="E101" s="38" t="inlineStr">
        <is>
          <t>$3,445</t>
        </is>
      </c>
      <c r="F101" s="38" t="inlineStr">
        <is>
          <t>$4,789</t>
        </is>
      </c>
    </row>
    <row r="102">
      <c r="A102" t="inlineStr"/>
      <c r="B102" t="inlineStr"/>
      <c r="C102" t="inlineStr"/>
      <c r="D102" t="inlineStr"/>
      <c r="E102" t="inlineStr"/>
      <c r="F102" t="inlineStr"/>
    </row>
    <row r="103">
      <c r="A103" s="2" t="inlineStr">
        <is>
          <t>+ Communauto Value subscriptions (3 accts x $60/yr)</t>
        </is>
      </c>
      <c r="B103" t="inlineStr"/>
      <c r="C103" t="inlineStr"/>
      <c r="D103" t="inlineStr"/>
      <c r="E103" t="inlineStr">
        <is>
          <t>$129</t>
        </is>
      </c>
      <c r="F103" t="inlineStr">
        <is>
          <t>$180</t>
        </is>
      </c>
    </row>
    <row r="104">
      <c r="A104" s="9" t="inlineStr">
        <is>
          <t>PROGRAM TOTAL – 8-del scenario</t>
        </is>
      </c>
      <c r="B104" s="9" t="inlineStr"/>
      <c r="C104" s="9" t="inlineStr"/>
      <c r="D104" s="9" t="inlineStr"/>
      <c r="E104" s="9" t="inlineStr">
        <is>
          <t>$42,467</t>
        </is>
      </c>
      <c r="F104" s="9" t="inlineStr">
        <is>
          <t>$59,028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16" customWidth="1" min="3" max="3"/>
    <col width="8" customWidth="1" min="4" max="4"/>
    <col width="13" customWidth="1" min="5" max="5"/>
    <col width="13" customWidth="1" min="6" max="6"/>
  </cols>
  <sheetData>
    <row r="1">
      <c r="A1" s="35" t="inlineStr">
        <is>
          <t>LINE-ITEM DETAIL – 12-delegate scenario (Montreal confs fixed at 20)</t>
        </is>
      </c>
    </row>
    <row r="2">
      <c r="A2" s="2" t="inlineStr">
        <is>
          <t>US confs USD&gt;CAD @1.39. Montreal confs CAD-native (USD col = equiv). Communauto/Megabus native CAD, incl tax.</t>
        </is>
      </c>
    </row>
    <row r="3">
      <c r="A3" t="inlineStr"/>
      <c r="B3" t="inlineStr"/>
      <c r="C3" t="inlineStr"/>
      <c r="D3" t="inlineStr"/>
      <c r="E3" t="inlineStr"/>
      <c r="F3" t="inlineStr"/>
    </row>
    <row r="4">
      <c r="A4" s="36" t="inlineStr">
        <is>
          <t>Conference / Line item</t>
        </is>
      </c>
      <c r="B4" s="36" t="inlineStr">
        <is>
          <t>Basis</t>
        </is>
      </c>
      <c r="C4" s="36" t="inlineStr">
        <is>
          <t>Rate</t>
        </is>
      </c>
      <c r="D4" s="36" t="inlineStr">
        <is>
          <t>Qty</t>
        </is>
      </c>
      <c r="E4" s="36" t="inlineStr">
        <is>
          <t>USD</t>
        </is>
      </c>
      <c r="F4" s="36" t="inlineStr">
        <is>
          <t>CAD</t>
        </is>
      </c>
    </row>
    <row r="5">
      <c r="A5" s="8" t="inlineStr">
        <is>
          <t>▼ UPMUNC – Penn  (Philadelphia, PA, Oct 15-18, 2026)</t>
        </is>
      </c>
      <c r="B5" s="8" t="inlineStr"/>
      <c r="C5" s="8" t="inlineStr"/>
      <c r="D5" s="8" t="inlineStr"/>
      <c r="E5" s="8" t="inlineStr"/>
      <c r="F5" s="8" t="inlineStr"/>
    </row>
    <row r="6">
      <c r="A6" t="inlineStr">
        <is>
          <t xml:space="preserve">   Delegation fee</t>
        </is>
      </c>
      <c r="B6" t="inlineStr">
        <is>
          <t>flat</t>
        </is>
      </c>
      <c r="C6" t="inlineStr">
        <is>
          <t>$95 USD</t>
        </is>
      </c>
      <c r="D6" t="inlineStr">
        <is>
          <t>1</t>
        </is>
      </c>
      <c r="E6" t="inlineStr">
        <is>
          <t>$95</t>
        </is>
      </c>
      <c r="F6" t="inlineStr">
        <is>
          <t>$132</t>
        </is>
      </c>
    </row>
    <row r="7">
      <c r="A7" t="inlineStr">
        <is>
          <t xml:space="preserve">   Delegate fees</t>
        </is>
      </c>
      <c r="B7" t="inlineStr">
        <is>
          <t>12 billable</t>
        </is>
      </c>
      <c r="C7" t="inlineStr">
        <is>
          <t>$110 USD</t>
        </is>
      </c>
      <c r="D7" t="inlineStr">
        <is>
          <t>12</t>
        </is>
      </c>
      <c r="E7" t="inlineStr">
        <is>
          <t>$1,320</t>
        </is>
      </c>
      <c r="F7" t="inlineStr">
        <is>
          <t>$1,835</t>
        </is>
      </c>
    </row>
    <row r="8">
      <c r="A8" t="inlineStr">
        <is>
          <t xml:space="preserve">   Hotel</t>
        </is>
      </c>
      <c r="B8" t="inlineStr">
        <is>
          <t>3 rms x 3 nts</t>
        </is>
      </c>
      <c r="C8" t="inlineStr">
        <is>
          <t>$200 USD</t>
        </is>
      </c>
      <c r="D8" t="inlineStr">
        <is>
          <t>9</t>
        </is>
      </c>
      <c r="E8" t="inlineStr">
        <is>
          <t>$1,800</t>
        </is>
      </c>
      <c r="F8" t="inlineStr">
        <is>
          <t>$2,502</t>
        </is>
      </c>
    </row>
    <row r="9">
      <c r="A9" t="inlineStr">
        <is>
          <t xml:space="preserve">   Communauto Value+LongDist</t>
        </is>
      </c>
      <c r="B9" t="inlineStr">
        <is>
          <t>3 cars x $552/car</t>
        </is>
      </c>
      <c r="C9" t="inlineStr">
        <is>
          <t>gas incl</t>
        </is>
      </c>
      <c r="D9" t="inlineStr">
        <is>
          <t>3</t>
        </is>
      </c>
      <c r="E9" t="inlineStr">
        <is>
          <t>—</t>
        </is>
      </c>
      <c r="F9" t="inlineStr">
        <is>
          <t>$1,656</t>
        </is>
      </c>
    </row>
    <row r="10">
      <c r="A10" s="2" t="inlineStr">
        <is>
          <t xml:space="preserve">      (per car: $194 time + $264 km + $30 dmg, x13% HST)</t>
        </is>
      </c>
      <c r="B10" t="inlineStr"/>
      <c r="C10" t="inlineStr"/>
      <c r="D10" t="inlineStr"/>
      <c r="E10" t="inlineStr"/>
      <c r="F10" t="inlineStr"/>
    </row>
    <row r="11">
      <c r="A11" s="2" t="inlineStr">
        <is>
          <t xml:space="preserve">   Subtotal</t>
        </is>
      </c>
      <c r="B11" t="inlineStr"/>
      <c r="C11" t="inlineStr"/>
      <c r="D11" t="inlineStr"/>
      <c r="E11" t="inlineStr">
        <is>
          <t>$4,406</t>
        </is>
      </c>
      <c r="F11" t="inlineStr">
        <is>
          <t>$6,125</t>
        </is>
      </c>
    </row>
    <row r="12">
      <c r="A12" s="2" t="inlineStr">
        <is>
          <t xml:space="preserve">   Contingency 10%</t>
        </is>
      </c>
      <c r="B12" t="inlineStr"/>
      <c r="C12" t="inlineStr"/>
      <c r="D12" t="inlineStr"/>
      <c r="E12" t="inlineStr">
        <is>
          <t>$441</t>
        </is>
      </c>
      <c r="F12" t="inlineStr">
        <is>
          <t>$612</t>
        </is>
      </c>
    </row>
    <row r="13">
      <c r="A13" s="37" t="inlineStr">
        <is>
          <t xml:space="preserve">   TOTAL – UPMUNC – Penn (DRIVE, 12 del)</t>
        </is>
      </c>
      <c r="B13" s="38" t="inlineStr"/>
      <c r="C13" s="38" t="inlineStr"/>
      <c r="D13" s="38" t="inlineStr"/>
      <c r="E13" s="38" t="inlineStr">
        <is>
          <t>$4,847</t>
        </is>
      </c>
      <c r="F13" s="38" t="inlineStr">
        <is>
          <t>$6,737</t>
        </is>
      </c>
    </row>
    <row r="14">
      <c r="A14" t="inlineStr"/>
      <c r="B14" t="inlineStr"/>
      <c r="C14" t="inlineStr"/>
      <c r="D14" t="inlineStr"/>
      <c r="E14" t="inlineStr"/>
      <c r="F14" t="inlineStr"/>
    </row>
    <row r="15">
      <c r="A15" s="8" t="inlineStr">
        <is>
          <t>▼ CIAC – Cornell  (Ithaca, NY, Oct 22-25, 2026)</t>
        </is>
      </c>
      <c r="B15" s="8" t="inlineStr"/>
      <c r="C15" s="8" t="inlineStr"/>
      <c r="D15" s="8" t="inlineStr"/>
      <c r="E15" s="8" t="inlineStr"/>
      <c r="F15" s="8" t="inlineStr"/>
    </row>
    <row r="16">
      <c r="A16" t="inlineStr">
        <is>
          <t xml:space="preserve">   Delegation fee</t>
        </is>
      </c>
      <c r="B16" t="inlineStr">
        <is>
          <t>flat</t>
        </is>
      </c>
      <c r="C16" t="inlineStr">
        <is>
          <t>$75 USD</t>
        </is>
      </c>
      <c r="D16" t="inlineStr">
        <is>
          <t>1</t>
        </is>
      </c>
      <c r="E16" t="inlineStr">
        <is>
          <t>$75</t>
        </is>
      </c>
      <c r="F16" t="inlineStr">
        <is>
          <t>$104</t>
        </is>
      </c>
    </row>
    <row r="17">
      <c r="A17" t="inlineStr">
        <is>
          <t xml:space="preserve">   Delegate fees (11+ free)</t>
        </is>
      </c>
      <c r="B17" t="inlineStr">
        <is>
          <t>10 billable</t>
        </is>
      </c>
      <c r="C17" t="inlineStr">
        <is>
          <t>$90 USD</t>
        </is>
      </c>
      <c r="D17" t="inlineStr">
        <is>
          <t>10</t>
        </is>
      </c>
      <c r="E17" t="inlineStr">
        <is>
          <t>$900</t>
        </is>
      </c>
      <c r="F17" t="inlineStr">
        <is>
          <t>$1,251</t>
        </is>
      </c>
    </row>
    <row r="18">
      <c r="A18" t="inlineStr">
        <is>
          <t xml:space="preserve">   Hotel</t>
        </is>
      </c>
      <c r="B18" t="inlineStr">
        <is>
          <t>3 rms x 3 nts</t>
        </is>
      </c>
      <c r="C18" t="inlineStr">
        <is>
          <t>$149 USD</t>
        </is>
      </c>
      <c r="D18" t="inlineStr">
        <is>
          <t>9</t>
        </is>
      </c>
      <c r="E18" t="inlineStr">
        <is>
          <t>$1,341</t>
        </is>
      </c>
      <c r="F18" t="inlineStr">
        <is>
          <t>$1,864</t>
        </is>
      </c>
    </row>
    <row r="19">
      <c r="A19" t="inlineStr">
        <is>
          <t xml:space="preserve">   Communauto Value+LongDist</t>
        </is>
      </c>
      <c r="B19" t="inlineStr">
        <is>
          <t>3 cars x $373/car</t>
        </is>
      </c>
      <c r="C19" t="inlineStr">
        <is>
          <t>gas incl</t>
        </is>
      </c>
      <c r="D19" t="inlineStr">
        <is>
          <t>3</t>
        </is>
      </c>
      <c r="E19" t="inlineStr">
        <is>
          <t>—</t>
        </is>
      </c>
      <c r="F19" t="inlineStr">
        <is>
          <t>$1,118</t>
        </is>
      </c>
    </row>
    <row r="20">
      <c r="A20" s="2" t="inlineStr">
        <is>
          <t xml:space="preserve">      (per car: $157 time + $143 km + $30 dmg, x13% HST)</t>
        </is>
      </c>
      <c r="B20" t="inlineStr"/>
      <c r="C20" t="inlineStr"/>
      <c r="D20" t="inlineStr"/>
      <c r="E20" t="inlineStr"/>
      <c r="F20" t="inlineStr"/>
    </row>
    <row r="21">
      <c r="A21" s="2" t="inlineStr">
        <is>
          <t xml:space="preserve">   Subtotal</t>
        </is>
      </c>
      <c r="B21" t="inlineStr"/>
      <c r="C21" t="inlineStr"/>
      <c r="D21" t="inlineStr"/>
      <c r="E21" t="inlineStr">
        <is>
          <t>$2,633</t>
        </is>
      </c>
      <c r="F21" t="inlineStr">
        <is>
          <t>$3,660</t>
        </is>
      </c>
    </row>
    <row r="22">
      <c r="A22" s="2" t="inlineStr">
        <is>
          <t xml:space="preserve">   Contingency 10%</t>
        </is>
      </c>
      <c r="B22" t="inlineStr"/>
      <c r="C22" t="inlineStr"/>
      <c r="D22" t="inlineStr"/>
      <c r="E22" t="inlineStr">
        <is>
          <t>$263</t>
        </is>
      </c>
      <c r="F22" t="inlineStr">
        <is>
          <t>$366</t>
        </is>
      </c>
    </row>
    <row r="23">
      <c r="A23" s="37" t="inlineStr">
        <is>
          <t xml:space="preserve">   TOTAL – CIAC – Cornell (DRIVE, 12 del)</t>
        </is>
      </c>
      <c r="B23" s="38" t="inlineStr"/>
      <c r="C23" s="38" t="inlineStr"/>
      <c r="D23" s="38" t="inlineStr"/>
      <c r="E23" s="38" t="inlineStr">
        <is>
          <t>$2,896</t>
        </is>
      </c>
      <c r="F23" s="38" t="inlineStr">
        <is>
          <t>$4,026</t>
        </is>
      </c>
    </row>
    <row r="24">
      <c r="A24" t="inlineStr"/>
      <c r="B24" t="inlineStr"/>
      <c r="C24" t="inlineStr"/>
      <c r="D24" t="inlineStr"/>
      <c r="E24" t="inlineStr"/>
      <c r="F24" t="inlineStr"/>
    </row>
    <row r="25">
      <c r="A25" s="8" t="inlineStr">
        <is>
          <t>▼ NCSC – Georgetown  (Washington, DC, Nov 5-8, 2026)</t>
        </is>
      </c>
      <c r="B25" s="8" t="inlineStr"/>
      <c r="C25" s="8" t="inlineStr"/>
      <c r="D25" s="8" t="inlineStr"/>
      <c r="E25" s="8" t="inlineStr"/>
      <c r="F25" s="8" t="inlineStr"/>
    </row>
    <row r="26">
      <c r="A26" t="inlineStr">
        <is>
          <t xml:space="preserve">   Delegation fee</t>
        </is>
      </c>
      <c r="B26" t="inlineStr">
        <is>
          <t>flat</t>
        </is>
      </c>
      <c r="C26" t="inlineStr">
        <is>
          <t>$90 USD</t>
        </is>
      </c>
      <c r="D26" t="inlineStr">
        <is>
          <t>1</t>
        </is>
      </c>
      <c r="E26" t="inlineStr">
        <is>
          <t>$90</t>
        </is>
      </c>
      <c r="F26" t="inlineStr">
        <is>
          <t>$125</t>
        </is>
      </c>
    </row>
    <row r="27">
      <c r="A27" t="inlineStr">
        <is>
          <t xml:space="preserve">   Delegate fees</t>
        </is>
      </c>
      <c r="B27" t="inlineStr">
        <is>
          <t>12 billable</t>
        </is>
      </c>
      <c r="C27" t="inlineStr">
        <is>
          <t>$110 USD</t>
        </is>
      </c>
      <c r="D27" t="inlineStr">
        <is>
          <t>12</t>
        </is>
      </c>
      <c r="E27" t="inlineStr">
        <is>
          <t>$1,320</t>
        </is>
      </c>
      <c r="F27" t="inlineStr">
        <is>
          <t>$1,835</t>
        </is>
      </c>
    </row>
    <row r="28">
      <c r="A28" t="inlineStr">
        <is>
          <t xml:space="preserve">   Hotel</t>
        </is>
      </c>
      <c r="B28" t="inlineStr">
        <is>
          <t>3 rms x 3 nts</t>
        </is>
      </c>
      <c r="C28" t="inlineStr">
        <is>
          <t>$366 USD</t>
        </is>
      </c>
      <c r="D28" t="inlineStr">
        <is>
          <t>9</t>
        </is>
      </c>
      <c r="E28" t="inlineStr">
        <is>
          <t>$3,294</t>
        </is>
      </c>
      <c r="F28" t="inlineStr">
        <is>
          <t>$4,579</t>
        </is>
      </c>
    </row>
    <row r="29">
      <c r="A29" t="inlineStr">
        <is>
          <t xml:space="preserve">   Communauto Value+LongDist</t>
        </is>
      </c>
      <c r="B29" t="inlineStr">
        <is>
          <t>3 cars x $637/car</t>
        </is>
      </c>
      <c r="C29" t="inlineStr">
        <is>
          <t>gas incl</t>
        </is>
      </c>
      <c r="D29" t="inlineStr">
        <is>
          <t>3</t>
        </is>
      </c>
      <c r="E29" t="inlineStr">
        <is>
          <t>—</t>
        </is>
      </c>
      <c r="F29" t="inlineStr">
        <is>
          <t>$1,910</t>
        </is>
      </c>
    </row>
    <row r="30">
      <c r="A30" s="2" t="inlineStr">
        <is>
          <t xml:space="preserve">      (per car: $194 time + $339 km + $30 dmg, x13% HST)</t>
        </is>
      </c>
      <c r="B30" t="inlineStr"/>
      <c r="C30" t="inlineStr"/>
      <c r="D30" t="inlineStr"/>
      <c r="E30" t="inlineStr"/>
      <c r="F30" t="inlineStr"/>
    </row>
    <row r="31">
      <c r="A31" s="2" t="inlineStr">
        <is>
          <t xml:space="preserve">   Subtotal</t>
        </is>
      </c>
      <c r="B31" t="inlineStr"/>
      <c r="C31" t="inlineStr"/>
      <c r="D31" t="inlineStr"/>
      <c r="E31" t="inlineStr">
        <is>
          <t>$6,078</t>
        </is>
      </c>
      <c r="F31" t="inlineStr">
        <is>
          <t>$8,448</t>
        </is>
      </c>
    </row>
    <row r="32">
      <c r="A32" s="2" t="inlineStr">
        <is>
          <t xml:space="preserve">   Contingency 10%</t>
        </is>
      </c>
      <c r="B32" t="inlineStr"/>
      <c r="C32" t="inlineStr"/>
      <c r="D32" t="inlineStr"/>
      <c r="E32" t="inlineStr">
        <is>
          <t>$608</t>
        </is>
      </c>
      <c r="F32" t="inlineStr">
        <is>
          <t>$845</t>
        </is>
      </c>
    </row>
    <row r="33">
      <c r="A33" s="37" t="inlineStr">
        <is>
          <t xml:space="preserve">   TOTAL – NCSC – Georgetown (DRIVE, 12 del)</t>
        </is>
      </c>
      <c r="B33" s="38" t="inlineStr"/>
      <c r="C33" s="38" t="inlineStr"/>
      <c r="D33" s="38" t="inlineStr"/>
      <c r="E33" s="38" t="inlineStr">
        <is>
          <t>$6,686</t>
        </is>
      </c>
      <c r="F33" s="38" t="inlineStr">
        <is>
          <t>$9,293</t>
        </is>
      </c>
    </row>
    <row r="34">
      <c r="A34" t="inlineStr"/>
      <c r="B34" t="inlineStr"/>
      <c r="C34" t="inlineStr"/>
      <c r="D34" t="inlineStr"/>
      <c r="E34" t="inlineStr"/>
      <c r="F34" t="inlineStr"/>
    </row>
    <row r="35">
      <c r="A35" s="8" t="inlineStr">
        <is>
          <t>▼ UNCMUNC – UNC  (Chapel Hill, NC, Nov 19-22, 2026)</t>
        </is>
      </c>
      <c r="B35" s="8" t="inlineStr"/>
      <c r="C35" s="8" t="inlineStr"/>
      <c r="D35" s="8" t="inlineStr"/>
      <c r="E35" s="8" t="inlineStr"/>
      <c r="F35" s="8" t="inlineStr"/>
    </row>
    <row r="36">
      <c r="A36" t="inlineStr">
        <is>
          <t xml:space="preserve">   Delegation fee</t>
        </is>
      </c>
      <c r="B36" t="inlineStr">
        <is>
          <t>flat</t>
        </is>
      </c>
      <c r="C36" t="inlineStr">
        <is>
          <t>$100 USD</t>
        </is>
      </c>
      <c r="D36" t="inlineStr">
        <is>
          <t>1</t>
        </is>
      </c>
      <c r="E36" t="inlineStr">
        <is>
          <t>$100</t>
        </is>
      </c>
      <c r="F36" t="inlineStr">
        <is>
          <t>$139</t>
        </is>
      </c>
    </row>
    <row r="37">
      <c r="A37" t="inlineStr">
        <is>
          <t xml:space="preserve">   Delegate fees</t>
        </is>
      </c>
      <c r="B37" t="inlineStr">
        <is>
          <t>12 billable</t>
        </is>
      </c>
      <c r="C37" t="inlineStr">
        <is>
          <t>$105 USD</t>
        </is>
      </c>
      <c r="D37" t="inlineStr">
        <is>
          <t>12</t>
        </is>
      </c>
      <c r="E37" t="inlineStr">
        <is>
          <t>$1,260</t>
        </is>
      </c>
      <c r="F37" t="inlineStr">
        <is>
          <t>$1,751</t>
        </is>
      </c>
    </row>
    <row r="38">
      <c r="A38" t="inlineStr">
        <is>
          <t xml:space="preserve">   Hotel</t>
        </is>
      </c>
      <c r="B38" t="inlineStr">
        <is>
          <t>3 rms x 3 nts</t>
        </is>
      </c>
      <c r="C38" t="inlineStr">
        <is>
          <t>$140 USD</t>
        </is>
      </c>
      <c r="D38" t="inlineStr">
        <is>
          <t>9</t>
        </is>
      </c>
      <c r="E38" t="inlineStr">
        <is>
          <t>$1,260</t>
        </is>
      </c>
      <c r="F38" t="inlineStr">
        <is>
          <t>$1,751</t>
        </is>
      </c>
    </row>
    <row r="39">
      <c r="A39" t="inlineStr">
        <is>
          <t xml:space="preserve">   Flights (RT YYZ)</t>
        </is>
      </c>
      <c r="B39" t="inlineStr">
        <is>
          <t>12 delegates</t>
        </is>
      </c>
      <c r="C39" t="inlineStr">
        <is>
          <t>$425 USD</t>
        </is>
      </c>
      <c r="D39" t="inlineStr">
        <is>
          <t>12</t>
        </is>
      </c>
      <c r="E39" t="inlineStr">
        <is>
          <t>$5,100</t>
        </is>
      </c>
      <c r="F39" t="inlineStr">
        <is>
          <t>$7,089</t>
        </is>
      </c>
    </row>
    <row r="40">
      <c r="A40" t="inlineStr">
        <is>
          <t xml:space="preserve">   Ground (KGN&lt;&gt;YYZ + xfer)</t>
        </is>
      </c>
      <c r="B40" t="inlineStr">
        <is>
          <t>flat</t>
        </is>
      </c>
      <c r="C40" t="inlineStr">
        <is>
          <t>—</t>
        </is>
      </c>
      <c r="D40" t="inlineStr">
        <is>
          <t>—</t>
        </is>
      </c>
      <c r="E40" t="inlineStr">
        <is>
          <t>~$612</t>
        </is>
      </c>
      <c r="F40" t="inlineStr">
        <is>
          <t>$850</t>
        </is>
      </c>
    </row>
    <row r="41">
      <c r="A41" s="2" t="inlineStr">
        <is>
          <t xml:space="preserve">   Subtotal</t>
        </is>
      </c>
      <c r="B41" t="inlineStr"/>
      <c r="C41" t="inlineStr"/>
      <c r="D41" t="inlineStr"/>
      <c r="E41" t="inlineStr">
        <is>
          <t>$8,332</t>
        </is>
      </c>
      <c r="F41" t="inlineStr">
        <is>
          <t>$11,581</t>
        </is>
      </c>
    </row>
    <row r="42">
      <c r="A42" s="2" t="inlineStr">
        <is>
          <t xml:space="preserve">   Contingency 10%</t>
        </is>
      </c>
      <c r="B42" t="inlineStr"/>
      <c r="C42" t="inlineStr"/>
      <c r="D42" t="inlineStr"/>
      <c r="E42" t="inlineStr">
        <is>
          <t>$833</t>
        </is>
      </c>
      <c r="F42" t="inlineStr">
        <is>
          <t>$1,158</t>
        </is>
      </c>
    </row>
    <row r="43">
      <c r="A43" s="37" t="inlineStr">
        <is>
          <t xml:space="preserve">   TOTAL – UNCMUNC – UNC (FLY, 12 del)</t>
        </is>
      </c>
      <c r="B43" s="38" t="inlineStr"/>
      <c r="C43" s="38" t="inlineStr"/>
      <c r="D43" s="38" t="inlineStr"/>
      <c r="E43" s="38" t="inlineStr">
        <is>
          <t>$9,165</t>
        </is>
      </c>
      <c r="F43" s="38" t="inlineStr">
        <is>
          <t>$12,739</t>
        </is>
      </c>
    </row>
    <row r="44">
      <c r="A44" t="inlineStr"/>
      <c r="B44" t="inlineStr"/>
      <c r="C44" t="inlineStr"/>
      <c r="D44" t="inlineStr"/>
      <c r="E44" t="inlineStr"/>
      <c r="F44" t="inlineStr"/>
    </row>
    <row r="45">
      <c r="A45" s="39" t="inlineStr">
        <is>
          <t>▼ McMUN – McGill  (Montreal, QC, Jan 28-31, 2027)  [FIXED 20 DEL]</t>
        </is>
      </c>
      <c r="B45" s="39" t="inlineStr"/>
      <c r="C45" s="39" t="inlineStr"/>
      <c r="D45" s="39" t="inlineStr"/>
      <c r="E45" s="39" t="inlineStr"/>
      <c r="F45" s="39" t="inlineStr"/>
    </row>
    <row r="46">
      <c r="A46" t="inlineStr">
        <is>
          <t xml:space="preserve">   Delegation fee</t>
        </is>
      </c>
      <c r="B46" t="inlineStr">
        <is>
          <t>flat</t>
        </is>
      </c>
      <c r="C46" t="inlineStr">
        <is>
          <t>$80 CAD</t>
        </is>
      </c>
      <c r="D46" t="inlineStr">
        <is>
          <t>1</t>
        </is>
      </c>
      <c r="E46" t="inlineStr">
        <is>
          <t>$58</t>
        </is>
      </c>
      <c r="F46" t="inlineStr">
        <is>
          <t>$80</t>
        </is>
      </c>
    </row>
    <row r="47">
      <c r="A47" t="inlineStr">
        <is>
          <t xml:space="preserve">   Delegate fees</t>
        </is>
      </c>
      <c r="B47" t="inlineStr">
        <is>
          <t>20 billable</t>
        </is>
      </c>
      <c r="C47" t="inlineStr">
        <is>
          <t>$125 CAD</t>
        </is>
      </c>
      <c r="D47" t="inlineStr">
        <is>
          <t>20</t>
        </is>
      </c>
      <c r="E47" t="inlineStr">
        <is>
          <t>$1,799</t>
        </is>
      </c>
      <c r="F47" t="inlineStr">
        <is>
          <t>$2,500</t>
        </is>
      </c>
    </row>
    <row r="48">
      <c r="A48" t="inlineStr">
        <is>
          <t xml:space="preserve">   Hotel</t>
        </is>
      </c>
      <c r="B48" t="inlineStr">
        <is>
          <t>5 rms x 3 nts</t>
        </is>
      </c>
      <c r="C48" t="inlineStr">
        <is>
          <t>$234 CAD</t>
        </is>
      </c>
      <c r="D48" t="inlineStr">
        <is>
          <t>15</t>
        </is>
      </c>
      <c r="E48" t="inlineStr">
        <is>
          <t>$2,525</t>
        </is>
      </c>
      <c r="F48" t="inlineStr">
        <is>
          <t>$3,510</t>
        </is>
      </c>
    </row>
    <row r="49">
      <c r="A49" t="inlineStr">
        <is>
          <t xml:space="preserve">   Megabus RT (Kingston&lt;&gt;Montreal)</t>
        </is>
      </c>
      <c r="B49" t="inlineStr">
        <is>
          <t>20 delegates</t>
        </is>
      </c>
      <c r="C49" t="inlineStr">
        <is>
          <t>$110 CAD</t>
        </is>
      </c>
      <c r="D49" t="inlineStr">
        <is>
          <t>20</t>
        </is>
      </c>
      <c r="E49" t="inlineStr">
        <is>
          <t>$1,583</t>
        </is>
      </c>
      <c r="F49" t="inlineStr">
        <is>
          <t>$2,200</t>
        </is>
      </c>
    </row>
    <row r="50">
      <c r="A50" s="2" t="inlineStr">
        <is>
          <t xml:space="preserve">   Subtotal</t>
        </is>
      </c>
      <c r="B50" t="inlineStr"/>
      <c r="C50" t="inlineStr"/>
      <c r="D50" t="inlineStr"/>
      <c r="E50" t="inlineStr">
        <is>
          <t>$5,964</t>
        </is>
      </c>
      <c r="F50" t="inlineStr">
        <is>
          <t>$8,290</t>
        </is>
      </c>
    </row>
    <row r="51">
      <c r="A51" s="2" t="inlineStr">
        <is>
          <t xml:space="preserve">   Contingency 10%</t>
        </is>
      </c>
      <c r="B51" t="inlineStr"/>
      <c r="C51" t="inlineStr"/>
      <c r="D51" t="inlineStr"/>
      <c r="E51" t="inlineStr">
        <is>
          <t>$596</t>
        </is>
      </c>
      <c r="F51" t="inlineStr">
        <is>
          <t>$829</t>
        </is>
      </c>
    </row>
    <row r="52">
      <c r="A52" s="37" t="inlineStr">
        <is>
          <t xml:space="preserve">   TOTAL – McMUN – McGill (BUS, 20 del)</t>
        </is>
      </c>
      <c r="B52" s="38" t="inlineStr"/>
      <c r="C52" s="38" t="inlineStr"/>
      <c r="D52" s="38" t="inlineStr"/>
      <c r="E52" s="38" t="inlineStr">
        <is>
          <t>$6,560</t>
        </is>
      </c>
      <c r="F52" s="38" t="inlineStr">
        <is>
          <t>$9,119</t>
        </is>
      </c>
    </row>
    <row r="53">
      <c r="A53" t="inlineStr"/>
      <c r="B53" t="inlineStr"/>
      <c r="C53" t="inlineStr"/>
      <c r="D53" t="inlineStr"/>
      <c r="E53" t="inlineStr"/>
      <c r="F53" t="inlineStr"/>
    </row>
    <row r="54">
      <c r="A54" s="8" t="inlineStr">
        <is>
          <t>▼ BUCKMUN – Ohio State  (Columbus, OH, Feb 4-7, 2027)</t>
        </is>
      </c>
      <c r="B54" s="8" t="inlineStr"/>
      <c r="C54" s="8" t="inlineStr"/>
      <c r="D54" s="8" t="inlineStr"/>
      <c r="E54" s="8" t="inlineStr"/>
      <c r="F54" s="8" t="inlineStr"/>
    </row>
    <row r="55">
      <c r="A55" t="inlineStr">
        <is>
          <t xml:space="preserve">   Delegation fee</t>
        </is>
      </c>
      <c r="B55" t="inlineStr">
        <is>
          <t>flat</t>
        </is>
      </c>
      <c r="C55" t="inlineStr">
        <is>
          <t>$75 USD</t>
        </is>
      </c>
      <c r="D55" t="inlineStr">
        <is>
          <t>1</t>
        </is>
      </c>
      <c r="E55" t="inlineStr">
        <is>
          <t>$75</t>
        </is>
      </c>
      <c r="F55" t="inlineStr">
        <is>
          <t>$104</t>
        </is>
      </c>
    </row>
    <row r="56">
      <c r="A56" t="inlineStr">
        <is>
          <t xml:space="preserve">   Delegate fees</t>
        </is>
      </c>
      <c r="B56" t="inlineStr">
        <is>
          <t>12 billable</t>
        </is>
      </c>
      <c r="C56" t="inlineStr">
        <is>
          <t>$75 USD</t>
        </is>
      </c>
      <c r="D56" t="inlineStr">
        <is>
          <t>12</t>
        </is>
      </c>
      <c r="E56" t="inlineStr">
        <is>
          <t>$900</t>
        </is>
      </c>
      <c r="F56" t="inlineStr">
        <is>
          <t>$1,251</t>
        </is>
      </c>
    </row>
    <row r="57">
      <c r="A57" t="inlineStr">
        <is>
          <t xml:space="preserve">   Hotel</t>
        </is>
      </c>
      <c r="B57" t="inlineStr">
        <is>
          <t>3 rms x 3 nts</t>
        </is>
      </c>
      <c r="C57" t="inlineStr">
        <is>
          <t>$150 USD</t>
        </is>
      </c>
      <c r="D57" t="inlineStr">
        <is>
          <t>9</t>
        </is>
      </c>
      <c r="E57" t="inlineStr">
        <is>
          <t>$1,350</t>
        </is>
      </c>
      <c r="F57" t="inlineStr">
        <is>
          <t>$1,876</t>
        </is>
      </c>
    </row>
    <row r="58">
      <c r="A58" t="inlineStr">
        <is>
          <t xml:space="preserve">   Communauto Value+LongDist</t>
        </is>
      </c>
      <c r="B58" t="inlineStr">
        <is>
          <t>3 cars x $725/car</t>
        </is>
      </c>
      <c r="C58" t="inlineStr">
        <is>
          <t>gas incl</t>
        </is>
      </c>
      <c r="D58" t="inlineStr">
        <is>
          <t>3</t>
        </is>
      </c>
      <c r="E58" t="inlineStr">
        <is>
          <t>—</t>
        </is>
      </c>
      <c r="F58" t="inlineStr">
        <is>
          <t>$2,174</t>
        </is>
      </c>
    </row>
    <row r="59">
      <c r="A59" s="2" t="inlineStr">
        <is>
          <t xml:space="preserve">      (per car: $220 time + $391 km + $30 dmg, x13% HST)</t>
        </is>
      </c>
      <c r="B59" t="inlineStr"/>
      <c r="C59" t="inlineStr"/>
      <c r="D59" t="inlineStr"/>
      <c r="E59" t="inlineStr"/>
      <c r="F59" t="inlineStr"/>
    </row>
    <row r="60">
      <c r="A60" s="2" t="inlineStr">
        <is>
          <t xml:space="preserve">   Subtotal</t>
        </is>
      </c>
      <c r="B60" t="inlineStr"/>
      <c r="C60" t="inlineStr"/>
      <c r="D60" t="inlineStr"/>
      <c r="E60" t="inlineStr">
        <is>
          <t>$3,889</t>
        </is>
      </c>
      <c r="F60" t="inlineStr">
        <is>
          <t>$5,406</t>
        </is>
      </c>
    </row>
    <row r="61">
      <c r="A61" s="2" t="inlineStr">
        <is>
          <t xml:space="preserve">   Contingency 10%</t>
        </is>
      </c>
      <c r="B61" t="inlineStr"/>
      <c r="C61" t="inlineStr"/>
      <c r="D61" t="inlineStr"/>
      <c r="E61" t="inlineStr">
        <is>
          <t>$389</t>
        </is>
      </c>
      <c r="F61" t="inlineStr">
        <is>
          <t>$541</t>
        </is>
      </c>
    </row>
    <row r="62">
      <c r="A62" s="37" t="inlineStr">
        <is>
          <t xml:space="preserve">   TOTAL – BUCKMUN – Ohio State (DRIVE, 12 del)</t>
        </is>
      </c>
      <c r="B62" s="38" t="inlineStr"/>
      <c r="C62" s="38" t="inlineStr"/>
      <c r="D62" s="38" t="inlineStr"/>
      <c r="E62" s="38" t="inlineStr">
        <is>
          <t>$4,278</t>
        </is>
      </c>
      <c r="F62" s="38" t="inlineStr">
        <is>
          <t>$5,947</t>
        </is>
      </c>
    </row>
    <row r="63">
      <c r="A63" t="inlineStr"/>
      <c r="B63" t="inlineStr"/>
      <c r="C63" t="inlineStr"/>
      <c r="D63" t="inlineStr"/>
      <c r="E63" t="inlineStr"/>
      <c r="F63" t="inlineStr"/>
    </row>
    <row r="64">
      <c r="A64" s="8" t="inlineStr">
        <is>
          <t>▼ RevMUNC – GW  (Washington, DC, Feb 18-21, 2027)</t>
        </is>
      </c>
      <c r="B64" s="8" t="inlineStr"/>
      <c r="C64" s="8" t="inlineStr"/>
      <c r="D64" s="8" t="inlineStr"/>
      <c r="E64" s="8" t="inlineStr"/>
      <c r="F64" s="8" t="inlineStr"/>
    </row>
    <row r="65">
      <c r="A65" t="inlineStr">
        <is>
          <t xml:space="preserve">   Delegation fee</t>
        </is>
      </c>
      <c r="B65" t="inlineStr">
        <is>
          <t>flat</t>
        </is>
      </c>
      <c r="C65" t="inlineStr">
        <is>
          <t>$60 USD</t>
        </is>
      </c>
      <c r="D65" t="inlineStr">
        <is>
          <t>1</t>
        </is>
      </c>
      <c r="E65" t="inlineStr">
        <is>
          <t>$60</t>
        </is>
      </c>
      <c r="F65" t="inlineStr">
        <is>
          <t>$83</t>
        </is>
      </c>
    </row>
    <row r="66">
      <c r="A66" t="inlineStr">
        <is>
          <t xml:space="preserve">   Delegate fees</t>
        </is>
      </c>
      <c r="B66" t="inlineStr">
        <is>
          <t>12 billable</t>
        </is>
      </c>
      <c r="C66" t="inlineStr">
        <is>
          <t>$70 USD</t>
        </is>
      </c>
      <c r="D66" t="inlineStr">
        <is>
          <t>12</t>
        </is>
      </c>
      <c r="E66" t="inlineStr">
        <is>
          <t>$840</t>
        </is>
      </c>
      <c r="F66" t="inlineStr">
        <is>
          <t>$1,168</t>
        </is>
      </c>
    </row>
    <row r="67">
      <c r="A67" t="inlineStr">
        <is>
          <t xml:space="preserve">   Hotel</t>
        </is>
      </c>
      <c r="B67" t="inlineStr">
        <is>
          <t>3 rms x 3 nts</t>
        </is>
      </c>
      <c r="C67" t="inlineStr">
        <is>
          <t>$230 USD</t>
        </is>
      </c>
      <c r="D67" t="inlineStr">
        <is>
          <t>9</t>
        </is>
      </c>
      <c r="E67" t="inlineStr">
        <is>
          <t>$2,070</t>
        </is>
      </c>
      <c r="F67" t="inlineStr">
        <is>
          <t>$2,877</t>
        </is>
      </c>
    </row>
    <row r="68">
      <c r="A68" t="inlineStr">
        <is>
          <t xml:space="preserve">   Communauto Value+LongDist</t>
        </is>
      </c>
      <c r="B68" t="inlineStr">
        <is>
          <t>3 cars x $637/car</t>
        </is>
      </c>
      <c r="C68" t="inlineStr">
        <is>
          <t>gas incl</t>
        </is>
      </c>
      <c r="D68" t="inlineStr">
        <is>
          <t>3</t>
        </is>
      </c>
      <c r="E68" t="inlineStr">
        <is>
          <t>—</t>
        </is>
      </c>
      <c r="F68" t="inlineStr">
        <is>
          <t>$1,910</t>
        </is>
      </c>
    </row>
    <row r="69">
      <c r="A69" s="2" t="inlineStr">
        <is>
          <t xml:space="preserve">      (per car: $194 time + $339 km + $30 dmg, x13% HST)</t>
        </is>
      </c>
      <c r="B69" t="inlineStr"/>
      <c r="C69" t="inlineStr"/>
      <c r="D69" t="inlineStr"/>
      <c r="E69" t="inlineStr"/>
      <c r="F69" t="inlineStr"/>
    </row>
    <row r="70">
      <c r="A70" s="2" t="inlineStr">
        <is>
          <t xml:space="preserve">   Subtotal</t>
        </is>
      </c>
      <c r="B70" t="inlineStr"/>
      <c r="C70" t="inlineStr"/>
      <c r="D70" t="inlineStr"/>
      <c r="E70" t="inlineStr">
        <is>
          <t>$4,344</t>
        </is>
      </c>
      <c r="F70" t="inlineStr">
        <is>
          <t>$6,038</t>
        </is>
      </c>
    </row>
    <row r="71">
      <c r="A71" s="2" t="inlineStr">
        <is>
          <t xml:space="preserve">   Contingency 10%</t>
        </is>
      </c>
      <c r="B71" t="inlineStr"/>
      <c r="C71" t="inlineStr"/>
      <c r="D71" t="inlineStr"/>
      <c r="E71" t="inlineStr">
        <is>
          <t>$434</t>
        </is>
      </c>
      <c r="F71" t="inlineStr">
        <is>
          <t>$604</t>
        </is>
      </c>
    </row>
    <row r="72">
      <c r="A72" s="37" t="inlineStr">
        <is>
          <t xml:space="preserve">   TOTAL – RevMUNC – GW (DRIVE, 12 del)</t>
        </is>
      </c>
      <c r="B72" s="38" t="inlineStr"/>
      <c r="C72" s="38" t="inlineStr"/>
      <c r="D72" s="38" t="inlineStr"/>
      <c r="E72" s="38" t="inlineStr">
        <is>
          <t>$4,778</t>
        </is>
      </c>
      <c r="F72" s="38" t="inlineStr">
        <is>
          <t>$6,642</t>
        </is>
      </c>
    </row>
    <row r="73">
      <c r="A73" t="inlineStr"/>
      <c r="B73" t="inlineStr"/>
      <c r="C73" t="inlineStr"/>
      <c r="D73" t="inlineStr"/>
      <c r="E73" t="inlineStr"/>
      <c r="F73" t="inlineStr"/>
    </row>
    <row r="74">
      <c r="A74" s="39" t="inlineStr">
        <is>
          <t>▼ ConMUN – Concordia  (Montreal, QC, ~Mar 11-14, 2027)  [FIXED 20 DEL]</t>
        </is>
      </c>
      <c r="B74" s="39" t="inlineStr"/>
      <c r="C74" s="39" t="inlineStr"/>
      <c r="D74" s="39" t="inlineStr"/>
      <c r="E74" s="39" t="inlineStr"/>
      <c r="F74" s="39" t="inlineStr"/>
    </row>
    <row r="75">
      <c r="A75" t="inlineStr">
        <is>
          <t xml:space="preserve">   Delegation fee</t>
        </is>
      </c>
      <c r="B75" t="inlineStr">
        <is>
          <t>flat</t>
        </is>
      </c>
      <c r="C75" t="inlineStr">
        <is>
          <t>$100 CAD</t>
        </is>
      </c>
      <c r="D75" t="inlineStr">
        <is>
          <t>1</t>
        </is>
      </c>
      <c r="E75" t="inlineStr">
        <is>
          <t>$72</t>
        </is>
      </c>
      <c r="F75" t="inlineStr">
        <is>
          <t>$100</t>
        </is>
      </c>
    </row>
    <row r="76">
      <c r="A76" t="inlineStr">
        <is>
          <t xml:space="preserve">   Delegate fees</t>
        </is>
      </c>
      <c r="B76" t="inlineStr">
        <is>
          <t>20 billable</t>
        </is>
      </c>
      <c r="C76" t="inlineStr">
        <is>
          <t>$125 CAD</t>
        </is>
      </c>
      <c r="D76" t="inlineStr">
        <is>
          <t>20</t>
        </is>
      </c>
      <c r="E76" t="inlineStr">
        <is>
          <t>$1,799</t>
        </is>
      </c>
      <c r="F76" t="inlineStr">
        <is>
          <t>$2,500</t>
        </is>
      </c>
    </row>
    <row r="77">
      <c r="A77" t="inlineStr">
        <is>
          <t xml:space="preserve">   Hotel</t>
        </is>
      </c>
      <c r="B77" t="inlineStr">
        <is>
          <t>5 rms x 3 nts</t>
        </is>
      </c>
      <c r="C77" t="inlineStr">
        <is>
          <t>$229 CAD</t>
        </is>
      </c>
      <c r="D77" t="inlineStr">
        <is>
          <t>15</t>
        </is>
      </c>
      <c r="E77" t="inlineStr">
        <is>
          <t>$2,471</t>
        </is>
      </c>
      <c r="F77" t="inlineStr">
        <is>
          <t>$3,435</t>
        </is>
      </c>
    </row>
    <row r="78">
      <c r="A78" t="inlineStr">
        <is>
          <t xml:space="preserve">   Megabus RT (Kingston&lt;&gt;Montreal)</t>
        </is>
      </c>
      <c r="B78" t="inlineStr">
        <is>
          <t>20 delegates</t>
        </is>
      </c>
      <c r="C78" t="inlineStr">
        <is>
          <t>$110 CAD</t>
        </is>
      </c>
      <c r="D78" t="inlineStr">
        <is>
          <t>20</t>
        </is>
      </c>
      <c r="E78" t="inlineStr">
        <is>
          <t>$1,583</t>
        </is>
      </c>
      <c r="F78" t="inlineStr">
        <is>
          <t>$2,200</t>
        </is>
      </c>
    </row>
    <row r="79">
      <c r="A79" s="2" t="inlineStr">
        <is>
          <t xml:space="preserve">   Subtotal</t>
        </is>
      </c>
      <c r="B79" t="inlineStr"/>
      <c r="C79" t="inlineStr"/>
      <c r="D79" t="inlineStr"/>
      <c r="E79" t="inlineStr">
        <is>
          <t>$5,924</t>
        </is>
      </c>
      <c r="F79" t="inlineStr">
        <is>
          <t>$8,235</t>
        </is>
      </c>
    </row>
    <row r="80">
      <c r="A80" s="2" t="inlineStr">
        <is>
          <t xml:space="preserve">   Contingency 10%</t>
        </is>
      </c>
      <c r="B80" t="inlineStr"/>
      <c r="C80" t="inlineStr"/>
      <c r="D80" t="inlineStr"/>
      <c r="E80" t="inlineStr">
        <is>
          <t>$592</t>
        </is>
      </c>
      <c r="F80" t="inlineStr">
        <is>
          <t>$824</t>
        </is>
      </c>
    </row>
    <row r="81">
      <c r="A81" s="37" t="inlineStr">
        <is>
          <t xml:space="preserve">   TOTAL – ConMUN – Concordia (BUS, 20 del)</t>
        </is>
      </c>
      <c r="B81" s="38" t="inlineStr"/>
      <c r="C81" s="38" t="inlineStr"/>
      <c r="D81" s="38" t="inlineStr"/>
      <c r="E81" s="38" t="inlineStr">
        <is>
          <t>$6,517</t>
        </is>
      </c>
      <c r="F81" s="38" t="inlineStr">
        <is>
          <t>$9,058</t>
        </is>
      </c>
    </row>
    <row r="82">
      <c r="A82" t="inlineStr"/>
      <c r="B82" t="inlineStr"/>
      <c r="C82" t="inlineStr"/>
      <c r="D82" t="inlineStr"/>
      <c r="E82" t="inlineStr"/>
      <c r="F82" t="inlineStr"/>
    </row>
    <row r="83">
      <c r="A83" s="8" t="inlineStr">
        <is>
          <t>▼ ChoMUN – UChicago  (Chicago, IL, Mar 25-28, 2027)</t>
        </is>
      </c>
      <c r="B83" s="8" t="inlineStr"/>
      <c r="C83" s="8" t="inlineStr"/>
      <c r="D83" s="8" t="inlineStr"/>
      <c r="E83" s="8" t="inlineStr"/>
      <c r="F83" s="8" t="inlineStr"/>
    </row>
    <row r="84">
      <c r="A84" t="inlineStr">
        <is>
          <t xml:space="preserve">   Delegation fee</t>
        </is>
      </c>
      <c r="B84" t="inlineStr">
        <is>
          <t>flat</t>
        </is>
      </c>
      <c r="C84" t="inlineStr">
        <is>
          <t>$50 USD</t>
        </is>
      </c>
      <c r="D84" t="inlineStr">
        <is>
          <t>1</t>
        </is>
      </c>
      <c r="E84" t="inlineStr">
        <is>
          <t>$50</t>
        </is>
      </c>
      <c r="F84" t="inlineStr">
        <is>
          <t>$70</t>
        </is>
      </c>
    </row>
    <row r="85">
      <c r="A85" t="inlineStr">
        <is>
          <t xml:space="preserve">   Delegate fees</t>
        </is>
      </c>
      <c r="B85" t="inlineStr">
        <is>
          <t>12 billable</t>
        </is>
      </c>
      <c r="C85" t="inlineStr">
        <is>
          <t>$110 USD</t>
        </is>
      </c>
      <c r="D85" t="inlineStr">
        <is>
          <t>12</t>
        </is>
      </c>
      <c r="E85" t="inlineStr">
        <is>
          <t>$1,320</t>
        </is>
      </c>
      <c r="F85" t="inlineStr">
        <is>
          <t>$1,835</t>
        </is>
      </c>
    </row>
    <row r="86">
      <c r="A86" t="inlineStr">
        <is>
          <t xml:space="preserve">   Hotel</t>
        </is>
      </c>
      <c r="B86" t="inlineStr">
        <is>
          <t>3 rms x 3 nts</t>
        </is>
      </c>
      <c r="C86" t="inlineStr">
        <is>
          <t>$201 USD</t>
        </is>
      </c>
      <c r="D86" t="inlineStr">
        <is>
          <t>9</t>
        </is>
      </c>
      <c r="E86" t="inlineStr">
        <is>
          <t>$1,809</t>
        </is>
      </c>
      <c r="F86" t="inlineStr">
        <is>
          <t>$2,515</t>
        </is>
      </c>
    </row>
    <row r="87">
      <c r="A87" t="inlineStr">
        <is>
          <t xml:space="preserve">   Communauto Value+LongDist</t>
        </is>
      </c>
      <c r="B87" t="inlineStr">
        <is>
          <t>3 cars x $784/car</t>
        </is>
      </c>
      <c r="C87" t="inlineStr">
        <is>
          <t>gas incl</t>
        </is>
      </c>
      <c r="D87" t="inlineStr">
        <is>
          <t>3</t>
        </is>
      </c>
      <c r="E87" t="inlineStr">
        <is>
          <t>—</t>
        </is>
      </c>
      <c r="F87" t="inlineStr">
        <is>
          <t>$2,351</t>
        </is>
      </c>
    </row>
    <row r="88">
      <c r="A88" s="2" t="inlineStr">
        <is>
          <t xml:space="preserve">      (per car: $220 time + $443 km + $30 dmg, x13% HST)</t>
        </is>
      </c>
      <c r="B88" t="inlineStr"/>
      <c r="C88" t="inlineStr"/>
      <c r="D88" t="inlineStr"/>
      <c r="E88" t="inlineStr"/>
      <c r="F88" t="inlineStr"/>
    </row>
    <row r="89">
      <c r="A89" s="2" t="inlineStr">
        <is>
          <t xml:space="preserve">   Subtotal</t>
        </is>
      </c>
      <c r="B89" t="inlineStr"/>
      <c r="C89" t="inlineStr"/>
      <c r="D89" t="inlineStr"/>
      <c r="E89" t="inlineStr">
        <is>
          <t>$4,870</t>
        </is>
      </c>
      <c r="F89" t="inlineStr">
        <is>
          <t>$6,770</t>
        </is>
      </c>
    </row>
    <row r="90">
      <c r="A90" s="2" t="inlineStr">
        <is>
          <t xml:space="preserve">   Contingency 10%</t>
        </is>
      </c>
      <c r="B90" t="inlineStr"/>
      <c r="C90" t="inlineStr"/>
      <c r="D90" t="inlineStr"/>
      <c r="E90" t="inlineStr">
        <is>
          <t>$487</t>
        </is>
      </c>
      <c r="F90" t="inlineStr">
        <is>
          <t>$677</t>
        </is>
      </c>
    </row>
    <row r="91">
      <c r="A91" s="37" t="inlineStr">
        <is>
          <t xml:space="preserve">   TOTAL – ChoMUN – UChicago (DRIVE, 12 del)</t>
        </is>
      </c>
      <c r="B91" s="38" t="inlineStr"/>
      <c r="C91" s="38" t="inlineStr"/>
      <c r="D91" s="38" t="inlineStr"/>
      <c r="E91" s="38" t="inlineStr">
        <is>
          <t>$5,357</t>
        </is>
      </c>
      <c r="F91" s="38" t="inlineStr">
        <is>
          <t>$7,447</t>
        </is>
      </c>
    </row>
    <row r="92">
      <c r="A92" t="inlineStr"/>
      <c r="B92" t="inlineStr"/>
      <c r="C92" t="inlineStr"/>
      <c r="D92" t="inlineStr"/>
      <c r="E92" t="inlineStr"/>
      <c r="F92" t="inlineStr"/>
    </row>
    <row r="93">
      <c r="A93" s="8" t="inlineStr">
        <is>
          <t>▼ VICS – UVA  (Charlottesville, VA, ~Mar 25-28, 2027)</t>
        </is>
      </c>
      <c r="B93" s="8" t="inlineStr"/>
      <c r="C93" s="8" t="inlineStr"/>
      <c r="D93" s="8" t="inlineStr"/>
      <c r="E93" s="8" t="inlineStr"/>
      <c r="F93" s="8" t="inlineStr"/>
    </row>
    <row r="94">
      <c r="A94" t="inlineStr">
        <is>
          <t xml:space="preserve">   Delegation fee</t>
        </is>
      </c>
      <c r="B94" t="inlineStr">
        <is>
          <t>flat</t>
        </is>
      </c>
      <c r="C94" t="inlineStr">
        <is>
          <t>$85 USD</t>
        </is>
      </c>
      <c r="D94" t="inlineStr">
        <is>
          <t>1</t>
        </is>
      </c>
      <c r="E94" t="inlineStr">
        <is>
          <t>$85</t>
        </is>
      </c>
      <c r="F94" t="inlineStr">
        <is>
          <t>$118</t>
        </is>
      </c>
    </row>
    <row r="95">
      <c r="A95" t="inlineStr">
        <is>
          <t xml:space="preserve">   Delegate fees</t>
        </is>
      </c>
      <c r="B95" t="inlineStr">
        <is>
          <t>12 billable</t>
        </is>
      </c>
      <c r="C95" t="inlineStr">
        <is>
          <t>$105 USD</t>
        </is>
      </c>
      <c r="D95" t="inlineStr">
        <is>
          <t>12</t>
        </is>
      </c>
      <c r="E95" t="inlineStr">
        <is>
          <t>$1,260</t>
        </is>
      </c>
      <c r="F95" t="inlineStr">
        <is>
          <t>$1,751</t>
        </is>
      </c>
    </row>
    <row r="96">
      <c r="A96" t="inlineStr">
        <is>
          <t xml:space="preserve">   Hotel</t>
        </is>
      </c>
      <c r="B96" t="inlineStr">
        <is>
          <t>3 rms x 3 nts</t>
        </is>
      </c>
      <c r="C96" t="inlineStr">
        <is>
          <t>$189 USD</t>
        </is>
      </c>
      <c r="D96" t="inlineStr">
        <is>
          <t>9</t>
        </is>
      </c>
      <c r="E96" t="inlineStr">
        <is>
          <t>$1,701</t>
        </is>
      </c>
      <c r="F96" t="inlineStr">
        <is>
          <t>$2,364</t>
        </is>
      </c>
    </row>
    <row r="97">
      <c r="A97" t="inlineStr">
        <is>
          <t xml:space="preserve">   Communauto Value+LongDist</t>
        </is>
      </c>
      <c r="B97" t="inlineStr">
        <is>
          <t>3 cars x $746/car</t>
        </is>
      </c>
      <c r="C97" t="inlineStr">
        <is>
          <t>gas incl</t>
        </is>
      </c>
      <c r="D97" t="inlineStr">
        <is>
          <t>3</t>
        </is>
      </c>
      <c r="E97" t="inlineStr">
        <is>
          <t>—</t>
        </is>
      </c>
      <c r="F97" t="inlineStr">
        <is>
          <t>$2,237</t>
        </is>
      </c>
    </row>
    <row r="98">
      <c r="A98" s="2" t="inlineStr">
        <is>
          <t xml:space="preserve">      (per car: $220 time + $410 km + $30 dmg, x13% HST)</t>
        </is>
      </c>
      <c r="B98" t="inlineStr"/>
      <c r="C98" t="inlineStr"/>
      <c r="D98" t="inlineStr"/>
      <c r="E98" t="inlineStr"/>
      <c r="F98" t="inlineStr"/>
    </row>
    <row r="99">
      <c r="A99" s="2" t="inlineStr">
        <is>
          <t xml:space="preserve">   Subtotal</t>
        </is>
      </c>
      <c r="B99" t="inlineStr"/>
      <c r="C99" t="inlineStr"/>
      <c r="D99" t="inlineStr"/>
      <c r="E99" t="inlineStr">
        <is>
          <t>$4,656</t>
        </is>
      </c>
      <c r="F99" t="inlineStr">
        <is>
          <t>$6,471</t>
        </is>
      </c>
    </row>
    <row r="100">
      <c r="A100" s="2" t="inlineStr">
        <is>
          <t xml:space="preserve">   Contingency 10%</t>
        </is>
      </c>
      <c r="B100" t="inlineStr"/>
      <c r="C100" t="inlineStr"/>
      <c r="D100" t="inlineStr"/>
      <c r="E100" t="inlineStr">
        <is>
          <t>$466</t>
        </is>
      </c>
      <c r="F100" t="inlineStr">
        <is>
          <t>$647</t>
        </is>
      </c>
    </row>
    <row r="101">
      <c r="A101" s="37" t="inlineStr">
        <is>
          <t xml:space="preserve">   TOTAL – VICS – UVA (DRIVE, 12 del)</t>
        </is>
      </c>
      <c r="B101" s="38" t="inlineStr"/>
      <c r="C101" s="38" t="inlineStr"/>
      <c r="D101" s="38" t="inlineStr"/>
      <c r="E101" s="38" t="inlineStr">
        <is>
          <t>$5,121</t>
        </is>
      </c>
      <c r="F101" s="38" t="inlineStr">
        <is>
          <t>$7,118</t>
        </is>
      </c>
    </row>
    <row r="102">
      <c r="A102" t="inlineStr"/>
      <c r="B102" t="inlineStr"/>
      <c r="C102" t="inlineStr"/>
      <c r="D102" t="inlineStr"/>
      <c r="E102" t="inlineStr"/>
      <c r="F102" t="inlineStr"/>
    </row>
    <row r="103">
      <c r="A103" s="2" t="inlineStr">
        <is>
          <t>+ Communauto Value subscriptions (3 accts x $60/yr)</t>
        </is>
      </c>
      <c r="B103" t="inlineStr"/>
      <c r="C103" t="inlineStr"/>
      <c r="D103" t="inlineStr"/>
      <c r="E103" t="inlineStr">
        <is>
          <t>$129</t>
        </is>
      </c>
      <c r="F103" t="inlineStr">
        <is>
          <t>$180</t>
        </is>
      </c>
    </row>
    <row r="104">
      <c r="A104" s="9" t="inlineStr">
        <is>
          <t>PROGRAM TOTAL – 12-del scenario</t>
        </is>
      </c>
      <c r="B104" s="9" t="inlineStr"/>
      <c r="C104" s="9" t="inlineStr"/>
      <c r="D104" s="9" t="inlineStr"/>
      <c r="E104" s="9" t="inlineStr">
        <is>
          <t>$56,335</t>
        </is>
      </c>
      <c r="F104" s="9" t="inlineStr">
        <is>
          <t>$78,306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14" customWidth="1" min="4" max="4"/>
    <col width="18" customWidth="1" min="5" max="5"/>
  </cols>
  <sheetData>
    <row r="1">
      <c r="A1" s="35" t="inlineStr">
        <is>
          <t>SELECTED SLATE — live mirror of the Scenario Builder</t>
        </is>
      </c>
    </row>
    <row r="2" ht="28" customHeight="1">
      <c r="A2" s="17" t="inlineStr">
        <is>
          <t>Updates automatically when you toggle conferences or change delegate counts on the Scenario Builder tab. Grey rows are switched off; on open it shows the planned 7-conf slate. CAD.</t>
        </is>
      </c>
    </row>
    <row r="3">
      <c r="A3" t="inlineStr"/>
      <c r="B3" t="inlineStr"/>
      <c r="C3" t="inlineStr"/>
      <c r="D3" t="inlineStr"/>
      <c r="E3" t="inlineStr"/>
    </row>
    <row r="4">
      <c r="A4" s="36" t="inlineStr">
        <is>
          <t>Conference</t>
        </is>
      </c>
      <c r="B4" s="36" t="inlineStr">
        <is>
          <t>Go?</t>
        </is>
      </c>
      <c r="C4" s="36" t="inlineStr">
        <is>
          <t>Delegates</t>
        </is>
      </c>
      <c r="D4" s="36" t="inlineStr">
        <is>
          <t>Travel</t>
        </is>
      </c>
      <c r="E4" s="36" t="inlineStr">
        <is>
          <t>Cost +10% (CAD)</t>
        </is>
      </c>
    </row>
    <row r="5">
      <c r="A5" s="4" t="inlineStr">
        <is>
          <t>UPMUNC – Penn</t>
        </is>
      </c>
      <c r="B5" s="40">
        <f>'Scenario Builder'!B5</f>
        <v/>
      </c>
      <c r="C5" s="40">
        <f>IF('Scenario Builder'!B5=1,'Scenario Builder'!C5,"—")</f>
        <v/>
      </c>
      <c r="D5" s="4" t="inlineStr">
        <is>
          <t>Communauto</t>
        </is>
      </c>
      <c r="E5" s="20">
        <f>'Scenario Builder'!E5</f>
        <v/>
      </c>
    </row>
    <row r="6">
      <c r="A6" s="4" t="inlineStr">
        <is>
          <t>CIAC – Cornell</t>
        </is>
      </c>
      <c r="B6" s="40">
        <f>'Scenario Builder'!B6</f>
        <v/>
      </c>
      <c r="C6" s="40">
        <f>IF('Scenario Builder'!B6=1,'Scenario Builder'!C6,"—")</f>
        <v/>
      </c>
      <c r="D6" s="4" t="inlineStr">
        <is>
          <t>Communauto</t>
        </is>
      </c>
      <c r="E6" s="20">
        <f>'Scenario Builder'!E6</f>
        <v/>
      </c>
    </row>
    <row r="7">
      <c r="A7" s="4" t="inlineStr">
        <is>
          <t>NCSC – Georgetown</t>
        </is>
      </c>
      <c r="B7" s="40">
        <f>'Scenario Builder'!B7</f>
        <v/>
      </c>
      <c r="C7" s="40">
        <f>IF('Scenario Builder'!B7=1,'Scenario Builder'!C7,"—")</f>
        <v/>
      </c>
      <c r="D7" s="4" t="inlineStr">
        <is>
          <t>Communauto</t>
        </is>
      </c>
      <c r="E7" s="20">
        <f>'Scenario Builder'!E7</f>
        <v/>
      </c>
    </row>
    <row r="8">
      <c r="A8" s="4" t="inlineStr">
        <is>
          <t>UNCMUNC – UNC</t>
        </is>
      </c>
      <c r="B8" s="40">
        <f>'Scenario Builder'!B8</f>
        <v/>
      </c>
      <c r="C8" s="40">
        <f>IF('Scenario Builder'!B8=1,'Scenario Builder'!C8,"—")</f>
        <v/>
      </c>
      <c r="D8" s="4" t="inlineStr">
        <is>
          <t>Fly</t>
        </is>
      </c>
      <c r="E8" s="20">
        <f>'Scenario Builder'!E8</f>
        <v/>
      </c>
    </row>
    <row r="9">
      <c r="A9" s="4" t="inlineStr">
        <is>
          <t>McMUN – McGill  [16 or 20]</t>
        </is>
      </c>
      <c r="B9" s="40">
        <f>'Scenario Builder'!B9</f>
        <v/>
      </c>
      <c r="C9" s="40">
        <f>IF('Scenario Builder'!B9=1,'Scenario Builder'!C9,"—")</f>
        <v/>
      </c>
      <c r="D9" s="4" t="inlineStr">
        <is>
          <t>Megabus</t>
        </is>
      </c>
      <c r="E9" s="20">
        <f>'Scenario Builder'!E9</f>
        <v/>
      </c>
    </row>
    <row r="10">
      <c r="A10" s="4" t="inlineStr">
        <is>
          <t>BUCKMUN – Ohio State</t>
        </is>
      </c>
      <c r="B10" s="40">
        <f>'Scenario Builder'!B10</f>
        <v/>
      </c>
      <c r="C10" s="40">
        <f>IF('Scenario Builder'!B10=1,'Scenario Builder'!C10,"—")</f>
        <v/>
      </c>
      <c r="D10" s="4" t="inlineStr">
        <is>
          <t>Communauto</t>
        </is>
      </c>
      <c r="E10" s="20">
        <f>'Scenario Builder'!E10</f>
        <v/>
      </c>
    </row>
    <row r="11">
      <c r="A11" s="4" t="inlineStr">
        <is>
          <t>RevMUNC – GW</t>
        </is>
      </c>
      <c r="B11" s="40">
        <f>'Scenario Builder'!B11</f>
        <v/>
      </c>
      <c r="C11" s="40">
        <f>IF('Scenario Builder'!B11=1,'Scenario Builder'!C11,"—")</f>
        <v/>
      </c>
      <c r="D11" s="4" t="inlineStr">
        <is>
          <t>Communauto</t>
        </is>
      </c>
      <c r="E11" s="20">
        <f>'Scenario Builder'!E11</f>
        <v/>
      </c>
    </row>
    <row r="12">
      <c r="A12" s="4" t="inlineStr">
        <is>
          <t>ConMUN – Concordia  [16 or 20]</t>
        </is>
      </c>
      <c r="B12" s="40">
        <f>'Scenario Builder'!B12</f>
        <v/>
      </c>
      <c r="C12" s="40">
        <f>IF('Scenario Builder'!B12=1,'Scenario Builder'!C12,"—")</f>
        <v/>
      </c>
      <c r="D12" s="4" t="inlineStr">
        <is>
          <t>Megabus</t>
        </is>
      </c>
      <c r="E12" s="20">
        <f>'Scenario Builder'!E12</f>
        <v/>
      </c>
    </row>
    <row r="13">
      <c r="A13" s="4" t="inlineStr">
        <is>
          <t>ChoMUN – UChicago</t>
        </is>
      </c>
      <c r="B13" s="40">
        <f>'Scenario Builder'!B13</f>
        <v/>
      </c>
      <c r="C13" s="40">
        <f>IF('Scenario Builder'!B13=1,'Scenario Builder'!C13,"—")</f>
        <v/>
      </c>
      <c r="D13" s="4" t="inlineStr">
        <is>
          <t>Communauto</t>
        </is>
      </c>
      <c r="E13" s="20">
        <f>'Scenario Builder'!E13</f>
        <v/>
      </c>
    </row>
    <row r="14">
      <c r="A14" s="4" t="inlineStr">
        <is>
          <t>VICS – UVA</t>
        </is>
      </c>
      <c r="B14" s="40">
        <f>'Scenario Builder'!B14</f>
        <v/>
      </c>
      <c r="C14" s="40">
        <f>IF('Scenario Builder'!B14=1,'Scenario Builder'!C14,"—")</f>
        <v/>
      </c>
      <c r="D14" s="4" t="inlineStr">
        <is>
          <t>Communauto</t>
        </is>
      </c>
      <c r="E14" s="20">
        <f>'Scenario Builder'!E14</f>
        <v/>
      </c>
    </row>
    <row r="15">
      <c r="A15" s="24" t="inlineStr">
        <is>
          <t>+ Communauto Value subscriptions (3 accts)</t>
        </is>
      </c>
      <c r="B15" s="24" t="n"/>
      <c r="C15" s="24" t="n"/>
      <c r="D15" s="24" t="n"/>
      <c r="E15" s="12">
        <f>'Scenario Builder'!E15</f>
        <v/>
      </c>
    </row>
    <row r="16">
      <c r="A16" s="25" t="inlineStr">
        <is>
          <t>SLATE TOTAL  (conferences + subscriptions)</t>
        </is>
      </c>
      <c r="B16" s="25" t="n"/>
      <c r="C16" s="25">
        <f>'Scenario Builder'!B17</f>
        <v/>
      </c>
      <c r="D16" s="25" t="inlineStr">
        <is>
          <t>trips</t>
        </is>
      </c>
      <c r="E16" s="26">
        <f>'Scenario Builder'!E17</f>
        <v/>
      </c>
    </row>
    <row r="17">
      <c r="A17" s="24" t="inlineStr">
        <is>
          <t>ALL-IN TOTAL  (+ operating budget)</t>
        </is>
      </c>
      <c r="B17" s="24" t="n"/>
      <c r="C17" s="24" t="n"/>
      <c r="D17" s="24" t="n"/>
      <c r="E17" s="12">
        <f>'Scenario Builder'!E19</f>
        <v/>
      </c>
    </row>
    <row r="19" ht="28" customHeight="1">
      <c r="A19" s="41" t="inlineStr">
        <is>
          <t>Live from the Scenario Builder: flip a conference on/off or change a delegate count there and this tab follows. Montreal trips (Megabus) need no car/account; US trips share 3 Communauto Value accounts.</t>
        </is>
      </c>
    </row>
  </sheetData>
  <mergeCells count="3">
    <mergeCell ref="A2:E2"/>
    <mergeCell ref="A1:E1"/>
    <mergeCell ref="A19:E19"/>
  </mergeCells>
  <conditionalFormatting sqref="A5:E14">
    <cfRule type="expression" priority="1" dxfId="0">
      <formula>$B5=1</formula>
    </cfRule>
    <cfRule type="expression" priority="2" dxfId="1">
      <formula>$B5=0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52" customWidth="1" min="1" max="1"/>
    <col width="42" customWidth="1" min="2" max="2"/>
    <col width="44" customWidth="1" min="3" max="3"/>
  </cols>
  <sheetData>
    <row r="1">
      <c r="A1" s="42" t="inlineStr">
        <is>
          <t>ASSUMPTIONS &amp; SOURCES</t>
        </is>
      </c>
    </row>
    <row r="2">
      <c r="A2" t="inlineStr"/>
      <c r="B2" t="inlineStr"/>
      <c r="C2" t="inlineStr"/>
    </row>
    <row r="3">
      <c r="A3" s="8" t="inlineStr">
        <is>
          <t>GLOBAL</t>
        </is>
      </c>
      <c r="B3" s="8" t="inlineStr"/>
      <c r="C3" s="8" t="inlineStr"/>
    </row>
    <row r="4">
      <c r="A4" t="inlineStr">
        <is>
          <t>Exchange rate</t>
        </is>
      </c>
      <c r="B4" t="inlineStr">
        <is>
          <t>USD &gt; CAD</t>
        </is>
      </c>
      <c r="C4" t="inlineStr">
        <is>
          <t>1.39</t>
        </is>
      </c>
    </row>
    <row r="5">
      <c r="A5" t="inlineStr">
        <is>
          <t>Rooming / car</t>
        </is>
      </c>
      <c r="B5" t="inlineStr">
        <is>
          <t>delegates per room / car</t>
        </is>
      </c>
      <c r="C5" t="inlineStr">
        <is>
          <t>4 / 4 (8&gt;2 rms, 12&gt;3, 20&gt;5)</t>
        </is>
      </c>
    </row>
    <row r="6">
      <c r="A6" t="inlineStr">
        <is>
          <t>Nights</t>
        </is>
      </c>
      <c r="B6" t="inlineStr">
        <is>
          <t>Thu-Sun</t>
        </is>
      </c>
      <c r="C6" t="inlineStr">
        <is>
          <t>3</t>
        </is>
      </c>
    </row>
    <row r="7">
      <c r="A7" t="inlineStr">
        <is>
          <t>Contingency</t>
        </is>
      </c>
      <c r="B7" t="inlineStr">
        <is>
          <t>on subtotal</t>
        </is>
      </c>
      <c r="C7" t="inlineStr">
        <is>
          <t>10%</t>
        </is>
      </c>
    </row>
    <row r="8">
      <c r="A8" t="inlineStr">
        <is>
          <t>Montreal confs</t>
        </is>
      </c>
      <c r="B8" t="inlineStr">
        <is>
          <t>McMUN &amp; ConMUN</t>
        </is>
      </c>
      <c r="C8" t="inlineStr">
        <is>
          <t>FIXED 20 delegates each</t>
        </is>
      </c>
    </row>
    <row r="9">
      <c r="A9" t="inlineStr">
        <is>
          <t>Excluded</t>
        </is>
      </c>
      <c r="B9" t="inlineStr">
        <is>
          <t>per scope</t>
        </is>
      </c>
      <c r="C9" t="inlineStr">
        <is>
          <t>meals/per-diem, faculty travel</t>
        </is>
      </c>
    </row>
    <row r="10">
      <c r="A10" t="inlineStr"/>
      <c r="B10" t="inlineStr"/>
      <c r="C10" t="inlineStr"/>
    </row>
    <row r="11">
      <c r="A11" s="8" t="inlineStr">
        <is>
          <t>TRANSPORT – US CONFS: COMMUNAUTO VALUE PLAN + LONG DISTANCE</t>
        </is>
      </c>
      <c r="B11" s="8" t="inlineStr"/>
      <c r="C11" s="8" t="inlineStr"/>
    </row>
    <row r="12">
      <c r="A12" t="inlineStr">
        <is>
          <t>Plan</t>
        </is>
      </c>
      <c r="B12" t="inlineStr">
        <is>
          <t>cheapest unlocking Long Distance</t>
        </is>
      </c>
      <c r="C12" t="inlineStr">
        <is>
          <t>Value $5/mo (12-mo min $60/yr/account)</t>
        </is>
      </c>
    </row>
    <row r="13">
      <c r="A13" t="inlineStr">
        <is>
          <t>Long Distance time / km</t>
        </is>
      </c>
      <c r="B13" t="inlineStr">
        <is>
          <t>low season Oct16-Jun14</t>
        </is>
      </c>
      <c r="C13" t="inlineStr">
        <is>
          <t>$46 d1 +$37/day · 29c/km &lt;300, 19c after · gas incl</t>
        </is>
      </c>
    </row>
    <row r="14">
      <c r="A14" t="inlineStr">
        <is>
          <t>Cars / accounts</t>
        </is>
      </c>
      <c r="B14" t="inlineStr">
        <is>
          <t>1 driver-member per car</t>
        </is>
      </c>
      <c r="C14" t="inlineStr">
        <is>
          <t>8 del=2 / 12 del=3 accounts</t>
        </is>
      </c>
    </row>
    <row r="15">
      <c r="A15" t="inlineStr">
        <is>
          <t>Subscriptions</t>
        </is>
      </c>
      <c r="B15" t="inlineStr">
        <is>
          <t>3 Value accts x $60/yr</t>
        </is>
      </c>
      <c r="C15" t="inlineStr">
        <is>
          <t>$180/yr (in PROGRAM TOTAL)</t>
        </is>
      </c>
    </row>
    <row r="16">
      <c r="A16" t="inlineStr">
        <is>
          <t>Bonds</t>
        </is>
      </c>
      <c r="B16" t="inlineStr">
        <is>
          <t>per account, refundable</t>
        </is>
      </c>
      <c r="C16" t="inlineStr">
        <is>
          <t>3 x $500 = $1,500 tied up (not a cost)</t>
        </is>
      </c>
    </row>
    <row r="17">
      <c r="A17" s="10" t="inlineStr">
        <is>
          <t>Why not Open plan</t>
        </is>
      </c>
      <c r="B17" t="inlineStr">
        <is>
          <t>Rules §9.7 + Plan Perks</t>
        </is>
      </c>
      <c r="C17" t="inlineStr">
        <is>
          <t>$500 limit &lt; single long-trip car AND no Long Distance -&gt; unusable</t>
        </is>
      </c>
    </row>
    <row r="18">
      <c r="A18" t="inlineStr">
        <is>
          <t>UNCMUNC</t>
        </is>
      </c>
      <c r="B18" t="inlineStr">
        <is>
          <t>14-15h each way</t>
        </is>
      </c>
      <c r="C18" t="inlineStr">
        <is>
          <t>FLY (YYZ-RDU ~$425 RT USD) + $850 ground</t>
        </is>
      </c>
    </row>
    <row r="19">
      <c r="A19" t="inlineStr"/>
      <c r="B19" t="inlineStr"/>
      <c r="C19" t="inlineStr"/>
    </row>
    <row r="20">
      <c r="A20" s="8" t="inlineStr">
        <is>
          <t>TRANSPORT – MONTREAL CONFS: MEGABUS</t>
        </is>
      </c>
      <c r="B20" s="8" t="inlineStr"/>
      <c r="C20" s="8" t="inlineStr"/>
    </row>
    <row r="21">
      <c r="A21" t="inlineStr">
        <is>
          <t>Route</t>
        </is>
      </c>
      <c r="B21" t="inlineStr">
        <is>
          <t>Kingston &lt;&gt; Montreal direct, ~3.5h</t>
        </is>
      </c>
      <c r="C21" t="inlineStr">
        <is>
          <t>Megabus/FlixBus, Kingston term 1175 John Counter</t>
        </is>
      </c>
    </row>
    <row r="22">
      <c r="A22" t="inlineStr">
        <is>
          <t>Fare</t>
        </is>
      </c>
      <c r="B22" t="inlineStr">
        <is>
          <t>RT per delegate, book early/together</t>
        </is>
      </c>
      <c r="C22" t="inlineStr">
        <is>
          <t>$110 CAD (no group discount under 40 pax)</t>
        </is>
      </c>
    </row>
    <row r="23">
      <c r="A23" t="inlineStr"/>
      <c r="B23" t="inlineStr"/>
      <c r="C23" t="inlineStr"/>
    </row>
    <row r="24">
      <c r="A24" s="8" t="inlineStr">
        <is>
          <t>PER-CONFERENCE SOURCES &amp; FEES</t>
        </is>
      </c>
      <c r="B24" s="8" t="inlineStr"/>
      <c r="C24" s="8" t="inlineStr"/>
    </row>
    <row r="25">
      <c r="A25" s="43" t="inlineStr">
        <is>
          <t>Conference</t>
        </is>
      </c>
      <c r="B25" s="43" t="inlineStr">
        <is>
          <t>Registration source</t>
        </is>
      </c>
      <c r="C25" s="43" t="inlineStr">
        <is>
          <t>Hotel</t>
        </is>
      </c>
    </row>
    <row r="26">
      <c r="A26" t="inlineStr">
        <is>
          <t>UPMUNC – Penn – deleg $95 / del $110 / hotel $200 (USD)</t>
        </is>
      </c>
      <c r="B26" t="inlineStr">
        <is>
          <t>upmunc.org/conference-registration</t>
        </is>
      </c>
      <c r="C26" t="inlineStr">
        <is>
          <t>Element/W Philadelphia Downtown</t>
        </is>
      </c>
    </row>
    <row r="27">
      <c r="A27" t="inlineStr">
        <is>
          <t>CIAC – Cornell – deleg $75 / del $90 / hotel $149 (USD)</t>
        </is>
      </c>
      <c r="B27" t="inlineStr">
        <is>
          <t>ciaconline.org/register</t>
        </is>
      </c>
      <c r="C27" t="inlineStr">
        <is>
          <t>Cayuga Blu Hotel, Ithaca ($149 incl bkfst)</t>
        </is>
      </c>
    </row>
    <row r="28">
      <c r="A28" t="inlineStr">
        <is>
          <t>NCSC – Georgetown – deleg $90 / del $110 / hotel $366 (USD)</t>
        </is>
      </c>
      <c r="B28" t="inlineStr">
        <is>
          <t>ncsc.modelun.org/registration</t>
        </is>
      </c>
      <c r="C28" t="inlineStr">
        <is>
          <t>Washington Hilton (Dupont Circle)</t>
        </is>
      </c>
    </row>
    <row r="29">
      <c r="A29" t="inlineStr">
        <is>
          <t>UNCMUNC – UNC – deleg $100 / del $105 / hotel $140 (USD)</t>
        </is>
      </c>
      <c r="B29" t="inlineStr">
        <is>
          <t>uncmunc.org/registration</t>
        </is>
      </c>
      <c r="C29" t="inlineStr">
        <is>
          <t>No block – 3-star Chapel Hill ~$140</t>
        </is>
      </c>
    </row>
    <row r="30">
      <c r="A30" t="inlineStr">
        <is>
          <t>McMUN – McGill – deleg $80 / del $125 / hotel $234 (CAD)</t>
        </is>
      </c>
      <c r="B30" t="inlineStr">
        <is>
          <t>mcmun.org (2027 fee table TBD)</t>
        </is>
      </c>
      <c r="C30" t="inlineStr">
        <is>
          <t>Le Centre Sheraton, quad $234 CAD</t>
        </is>
      </c>
    </row>
    <row r="31">
      <c r="A31" t="inlineStr">
        <is>
          <t>BUCKMUN – Ohio State – deleg $75 / del $75 / hotel $150 (USD)</t>
        </is>
      </c>
      <c r="B31" t="inlineStr">
        <is>
          <t>buckmun.com (fees TBD – buckmun@ccwaosu.org)</t>
        </is>
      </c>
      <c r="C31" t="inlineStr">
        <is>
          <t>Hyatt Place Columbus/OSU ~$150</t>
        </is>
      </c>
    </row>
    <row r="32">
      <c r="A32" t="inlineStr">
        <is>
          <t>RevMUNC – GW – deleg $60 / del $70 / hotel $230 (USD)</t>
        </is>
      </c>
      <c r="B32" t="inlineStr">
        <is>
          <t>gwuias.org/revmunc (secgen.revmunc@gmail.com)</t>
        </is>
      </c>
      <c r="C32" t="inlineStr">
        <is>
          <t>Foggy Bottom / campus-area est ~$230 (no block posted)</t>
        </is>
      </c>
    </row>
    <row r="33">
      <c r="A33" t="inlineStr">
        <is>
          <t>ConMUN – Concordia – deleg $100 / del $125 / hotel $229 (CAD)</t>
        </is>
      </c>
      <c r="B33" t="inlineStr">
        <is>
          <t>conmun.org/en/registration (2026 figs)</t>
        </is>
      </c>
      <c r="C33" t="inlineStr">
        <is>
          <t>DoubleTree by Hilton Montreal $229 CAD</t>
        </is>
      </c>
    </row>
    <row r="34">
      <c r="A34" t="inlineStr">
        <is>
          <t>ChoMUN – UChicago – deleg $50 / del $110 / hotel $201 (USD)</t>
        </is>
      </c>
      <c r="B34" t="inlineStr">
        <is>
          <t>chomun.org/registration</t>
        </is>
      </c>
      <c r="C34" t="inlineStr">
        <is>
          <t>Palmer House Hilton ($201/quad)</t>
        </is>
      </c>
    </row>
    <row r="35">
      <c r="A35" t="inlineStr">
        <is>
          <t>VICS – UVA – deleg $85 / del $105 / hotel $189 (USD)</t>
        </is>
      </c>
      <c r="B35" t="inlineStr">
        <is>
          <t>iro-vics.org / iro-vics.app</t>
        </is>
      </c>
      <c r="C35" t="inlineStr">
        <is>
          <t>Hampton/Draftsman/Fairfield ($169-222)</t>
        </is>
      </c>
    </row>
    <row r="36">
      <c r="A36" t="inlineStr"/>
      <c r="B36" t="inlineStr"/>
      <c r="C36" t="inlineStr"/>
    </row>
    <row r="37">
      <c r="A37" s="8" t="inlineStr">
        <is>
          <t>HOTEL SOURCING QUALITY</t>
        </is>
      </c>
      <c r="B37" s="8" t="inlineStr"/>
      <c r="C37" s="8" t="inlineStr"/>
    </row>
    <row r="38">
      <c r="A38" t="inlineStr">
        <is>
          <t>Actual published block rate</t>
        </is>
      </c>
      <c r="B38" t="inlineStr">
        <is>
          <t>ChoMUN $201, VICS $189, McMUN $234, ConMUN $229</t>
        </is>
      </c>
      <c r="C38" t="inlineStr">
        <is>
          <t>CIAC $149 = prior-year block</t>
        </is>
      </c>
    </row>
    <row r="39">
      <c r="A39" t="inlineStr">
        <is>
          <t>Proxy at known host hotel</t>
        </is>
      </c>
      <c r="B39" t="inlineStr">
        <is>
          <t>NCSC $366 (Georgetown group rate), UPMUNC $200</t>
        </is>
      </c>
      <c r="C39" t="inlineStr"/>
    </row>
    <row r="40">
      <c r="A40" t="inlineStr">
        <is>
          <t>Open-market estimate (no block exists)</t>
        </is>
      </c>
      <c r="B40" t="inlineStr">
        <is>
          <t>BUCKMUN $150, UNCMUNC $140, RevMUNC $230 (DC)</t>
        </is>
      </c>
      <c r="C40" t="inlineStr"/>
    </row>
    <row r="41">
      <c r="A41" t="inlineStr"/>
      <c r="B41" t="inlineStr"/>
      <c r="C41" t="inlineStr"/>
    </row>
    <row r="42">
      <c r="A42" s="8" t="inlineStr">
        <is>
          <t>FLAGS / TO CONFIRM</t>
        </is>
      </c>
      <c r="B42" s="8" t="inlineStr"/>
      <c r="C42" s="8" t="inlineStr"/>
    </row>
    <row r="43">
      <c r="A43" t="inlineStr">
        <is>
          <t>McMUN 2027 per-del fee</t>
        </is>
      </c>
      <c r="B43" t="inlineStr">
        <is>
          <t>table unposted; used $125 CAD est</t>
        </is>
      </c>
      <c r="C43" t="inlineStr">
        <is>
          <t>finance@mcmun.org</t>
        </is>
      </c>
    </row>
    <row r="44">
      <c r="A44" t="inlineStr">
        <is>
          <t>ConMUN 2027 dates+fees</t>
        </is>
      </c>
      <c r="B44" t="inlineStr">
        <is>
          <t>2026 figures used</t>
        </is>
      </c>
      <c r="C44" t="inlineStr">
        <is>
          <t>conmun.org</t>
        </is>
      </c>
    </row>
    <row r="45">
      <c r="A45" t="inlineStr">
        <is>
          <t>BUCKMUN inaugural</t>
        </is>
      </c>
      <c r="B45" t="inlineStr">
        <is>
          <t>fees estimated</t>
        </is>
      </c>
      <c r="C45" t="inlineStr">
        <is>
          <t>buckmun@ccwaosu.org</t>
        </is>
      </c>
    </row>
    <row r="46">
      <c r="A46" t="inlineStr">
        <is>
          <t>RevMUNC new conf (founded 2026)</t>
        </is>
      </c>
      <c r="B46" t="inlineStr">
        <is>
          <t>$70/del reg + $230 DC hotel est; Feb 18-21 = reading-week wk2</t>
        </is>
      </c>
      <c r="C46" t="inlineStr">
        <is>
          <t>secgen.revmunc@gmail.com</t>
        </is>
      </c>
    </row>
    <row r="47">
      <c r="A47" t="inlineStr">
        <is>
          <t>UPMUNC Oct 15-18</t>
        </is>
      </c>
      <c r="B47" t="inlineStr">
        <is>
          <t>unusual (usually Nov)</t>
        </is>
      </c>
      <c r="C47" t="inlineStr">
        <is>
          <t>reconfirm</t>
        </is>
      </c>
    </row>
    <row r="48">
      <c r="A48" t="inlineStr">
        <is>
          <t>CIAC delegates 11+ free</t>
        </is>
      </c>
      <c r="B48" t="inlineStr">
        <is>
          <t>12-del pays for 10</t>
        </is>
      </c>
      <c r="C48" t="inlineStr"/>
    </row>
    <row r="49">
      <c r="A49" t="inlineStr">
        <is>
          <t>CIAC 50% returning discount</t>
        </is>
      </c>
      <c r="B49" t="inlineStr">
        <is>
          <t>CONFIRMED — last attended CIAC XIII (2022); reg halved in budget</t>
        </is>
      </c>
      <c r="C49" t="inlineStr">
        <is>
          <t>sg@ciaconline.org</t>
        </is>
      </c>
    </row>
    <row r="50">
      <c r="A50" t="inlineStr">
        <is>
          <t>Communauto: 1 account per car</t>
        </is>
      </c>
      <c r="B50" t="inlineStr">
        <is>
          <t>credit limit + driver rule</t>
        </is>
      </c>
      <c r="C50" t="inlineStr">
        <is>
          <t>8 del=2, 12 del=3 accounts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2" customWidth="1" min="3" max="3"/>
    <col width="12" customWidth="1" min="4" max="4"/>
    <col width="14" customWidth="1" min="5" max="5"/>
    <col width="11" customWidth="1" min="6" max="6"/>
  </cols>
  <sheetData>
    <row r="1">
      <c r="A1" s="35" t="inlineStr">
        <is>
          <t>TRANSPORT OPTIONS – US drive confs only (Communauto), total CAD</t>
        </is>
      </c>
    </row>
    <row r="2">
      <c r="A2" s="2" t="inlineStr">
        <is>
          <t>A=Communauto OPEN (free plan). B=Rental van(s). C=Communauto VALUE + Long Distance (used in budget; needs $5/mo plan + bond).</t>
        </is>
      </c>
    </row>
    <row r="3">
      <c r="A3" t="inlineStr"/>
      <c r="B3" t="inlineStr"/>
      <c r="C3" t="inlineStr"/>
      <c r="D3" t="inlineStr"/>
      <c r="E3" t="inlineStr"/>
      <c r="F3" t="inlineStr"/>
    </row>
    <row r="4">
      <c r="A4" s="8" t="inlineStr">
        <is>
          <t>— 8 DELEGATES (2 Commauto cars / 1 van) —</t>
        </is>
      </c>
      <c r="B4" s="8" t="inlineStr"/>
      <c r="C4" s="8" t="inlineStr"/>
      <c r="D4" s="8" t="inlineStr"/>
      <c r="E4" s="8" t="inlineStr"/>
      <c r="F4" s="8" t="inlineStr"/>
    </row>
    <row r="5">
      <c r="A5" s="36" t="inlineStr">
        <is>
          <t>Conference</t>
        </is>
      </c>
      <c r="B5" s="36" t="inlineStr">
        <is>
          <t>RT km</t>
        </is>
      </c>
      <c r="C5" s="36" t="inlineStr">
        <is>
          <t>A: Open</t>
        </is>
      </c>
      <c r="D5" s="36" t="inlineStr">
        <is>
          <t>B: Van</t>
        </is>
      </c>
      <c r="E5" s="36" t="inlineStr">
        <is>
          <t>C: Value+LD</t>
        </is>
      </c>
      <c r="F5" s="36" t="inlineStr">
        <is>
          <t>Cheapest</t>
        </is>
      </c>
    </row>
    <row r="6">
      <c r="A6" t="inlineStr">
        <is>
          <t>UPMUNC – Penn</t>
        </is>
      </c>
      <c r="B6" t="inlineStr">
        <is>
          <t>1234</t>
        </is>
      </c>
      <c r="C6" t="inlineStr">
        <is>
          <t>$1,591</t>
        </is>
      </c>
      <c r="D6" t="inlineStr">
        <is>
          <t>$942</t>
        </is>
      </c>
      <c r="E6" t="inlineStr">
        <is>
          <t>$1,104</t>
        </is>
      </c>
      <c r="F6" t="inlineStr">
        <is>
          <t>Van</t>
        </is>
      </c>
    </row>
    <row r="7">
      <c r="A7" t="inlineStr">
        <is>
          <t>CIAC – Cornell</t>
        </is>
      </c>
      <c r="B7" t="inlineStr">
        <is>
          <t>594</t>
        </is>
      </c>
      <c r="C7" t="inlineStr">
        <is>
          <t>$975</t>
        </is>
      </c>
      <c r="D7" t="inlineStr">
        <is>
          <t>$802</t>
        </is>
      </c>
      <c r="E7" t="inlineStr">
        <is>
          <t>$745</t>
        </is>
      </c>
      <c r="F7" t="inlineStr">
        <is>
          <t>Value-LD</t>
        </is>
      </c>
    </row>
    <row r="8">
      <c r="A8" t="inlineStr">
        <is>
          <t>NCSC – Georgetown</t>
        </is>
      </c>
      <c r="B8" t="inlineStr">
        <is>
          <t>1628</t>
        </is>
      </c>
      <c r="C8" t="inlineStr">
        <is>
          <t>$1,894</t>
        </is>
      </c>
      <c r="D8" t="inlineStr">
        <is>
          <t>$1,003</t>
        </is>
      </c>
      <c r="E8" t="inlineStr">
        <is>
          <t>$1,273</t>
        </is>
      </c>
      <c r="F8" t="inlineStr">
        <is>
          <t>Van</t>
        </is>
      </c>
    </row>
    <row r="9">
      <c r="A9" t="inlineStr">
        <is>
          <t>RevMUNC – GW</t>
        </is>
      </c>
      <c r="B9" t="inlineStr">
        <is>
          <t>1628</t>
        </is>
      </c>
      <c r="C9" t="inlineStr">
        <is>
          <t>$1,894</t>
        </is>
      </c>
      <c r="D9" t="inlineStr">
        <is>
          <t>$1,003</t>
        </is>
      </c>
      <c r="E9" t="inlineStr">
        <is>
          <t>$1,273</t>
        </is>
      </c>
      <c r="F9" t="inlineStr">
        <is>
          <t>Van</t>
        </is>
      </c>
    </row>
    <row r="10">
      <c r="A10" t="inlineStr">
        <is>
          <t>BUCKMUN – Ohio State</t>
        </is>
      </c>
      <c r="B10" t="inlineStr">
        <is>
          <t>1902</t>
        </is>
      </c>
      <c r="C10" t="inlineStr">
        <is>
          <t>$2,229</t>
        </is>
      </c>
      <c r="D10" t="inlineStr">
        <is>
          <t>$1,072</t>
        </is>
      </c>
      <c r="E10" t="inlineStr">
        <is>
          <t>$1,450</t>
        </is>
      </c>
      <c r="F10" t="inlineStr">
        <is>
          <t>Van</t>
        </is>
      </c>
    </row>
    <row r="11">
      <c r="A11" t="inlineStr">
        <is>
          <t>ChoMUN – UChicago</t>
        </is>
      </c>
      <c r="B11" t="inlineStr">
        <is>
          <t>2176</t>
        </is>
      </c>
      <c r="C11" t="inlineStr">
        <is>
          <t>$2,439</t>
        </is>
      </c>
      <c r="D11" t="inlineStr">
        <is>
          <t>$1,142</t>
        </is>
      </c>
      <c r="E11" t="inlineStr">
        <is>
          <t>$1,567</t>
        </is>
      </c>
      <c r="F11" t="inlineStr">
        <is>
          <t>Van</t>
        </is>
      </c>
    </row>
    <row r="12">
      <c r="A12" t="inlineStr">
        <is>
          <t>VICS – UVA</t>
        </is>
      </c>
      <c r="B12" t="inlineStr">
        <is>
          <t>2000</t>
        </is>
      </c>
      <c r="C12" t="inlineStr">
        <is>
          <t>$2,304</t>
        </is>
      </c>
      <c r="D12" t="inlineStr">
        <is>
          <t>$1,065</t>
        </is>
      </c>
      <c r="E12" t="inlineStr">
        <is>
          <t>$1,492</t>
        </is>
      </c>
      <c r="F12" t="inlineStr">
        <is>
          <t>Van</t>
        </is>
      </c>
    </row>
    <row r="13">
      <c r="A13" t="inlineStr"/>
      <c r="B13" t="inlineStr"/>
      <c r="C13" t="inlineStr"/>
      <c r="D13" t="inlineStr"/>
      <c r="E13" t="inlineStr"/>
      <c r="F13" t="inlineStr"/>
    </row>
    <row r="14">
      <c r="A14" s="8" t="inlineStr">
        <is>
          <t>— 12 DELEGATES (3 Commauto cars / 2 van) —</t>
        </is>
      </c>
      <c r="B14" s="8" t="inlineStr"/>
      <c r="C14" s="8" t="inlineStr"/>
      <c r="D14" s="8" t="inlineStr"/>
      <c r="E14" s="8" t="inlineStr"/>
      <c r="F14" s="8" t="inlineStr"/>
    </row>
    <row r="15">
      <c r="A15" s="36" t="inlineStr">
        <is>
          <t>Conference</t>
        </is>
      </c>
      <c r="B15" s="36" t="inlineStr">
        <is>
          <t>RT km</t>
        </is>
      </c>
      <c r="C15" s="36" t="inlineStr">
        <is>
          <t>A: Open</t>
        </is>
      </c>
      <c r="D15" s="36" t="inlineStr">
        <is>
          <t>B: Van</t>
        </is>
      </c>
      <c r="E15" s="36" t="inlineStr">
        <is>
          <t>C: Value+LD</t>
        </is>
      </c>
      <c r="F15" s="36" t="inlineStr">
        <is>
          <t>Cheapest</t>
        </is>
      </c>
    </row>
    <row r="16">
      <c r="A16" t="inlineStr">
        <is>
          <t>UPMUNC – Penn</t>
        </is>
      </c>
      <c r="B16" t="inlineStr">
        <is>
          <t>1234</t>
        </is>
      </c>
      <c r="C16" t="inlineStr">
        <is>
          <t>$2,387</t>
        </is>
      </c>
      <c r="D16" t="inlineStr">
        <is>
          <t>$1,884</t>
        </is>
      </c>
      <c r="E16" t="inlineStr">
        <is>
          <t>$1,656</t>
        </is>
      </c>
      <c r="F16" t="inlineStr">
        <is>
          <t>Value-LD</t>
        </is>
      </c>
    </row>
    <row r="17">
      <c r="A17" t="inlineStr">
        <is>
          <t>CIAC – Cornell</t>
        </is>
      </c>
      <c r="B17" t="inlineStr">
        <is>
          <t>594</t>
        </is>
      </c>
      <c r="C17" t="inlineStr">
        <is>
          <t>$1,463</t>
        </is>
      </c>
      <c r="D17" t="inlineStr">
        <is>
          <t>$1,604</t>
        </is>
      </c>
      <c r="E17" t="inlineStr">
        <is>
          <t>$1,118</t>
        </is>
      </c>
      <c r="F17" t="inlineStr">
        <is>
          <t>Value-LD</t>
        </is>
      </c>
    </row>
    <row r="18">
      <c r="A18" t="inlineStr">
        <is>
          <t>NCSC – Georgetown</t>
        </is>
      </c>
      <c r="B18" t="inlineStr">
        <is>
          <t>1628</t>
        </is>
      </c>
      <c r="C18" t="inlineStr">
        <is>
          <t>$2,841</t>
        </is>
      </c>
      <c r="D18" t="inlineStr">
        <is>
          <t>$2,006</t>
        </is>
      </c>
      <c r="E18" t="inlineStr">
        <is>
          <t>$1,910</t>
        </is>
      </c>
      <c r="F18" t="inlineStr">
        <is>
          <t>Value-LD</t>
        </is>
      </c>
    </row>
    <row r="19">
      <c r="A19" t="inlineStr">
        <is>
          <t>RevMUNC – GW</t>
        </is>
      </c>
      <c r="B19" t="inlineStr">
        <is>
          <t>1628</t>
        </is>
      </c>
      <c r="C19" t="inlineStr">
        <is>
          <t>$2,841</t>
        </is>
      </c>
      <c r="D19" t="inlineStr">
        <is>
          <t>$2,006</t>
        </is>
      </c>
      <c r="E19" t="inlineStr">
        <is>
          <t>$1,910</t>
        </is>
      </c>
      <c r="F19" t="inlineStr">
        <is>
          <t>Value-LD</t>
        </is>
      </c>
    </row>
    <row r="20">
      <c r="A20" t="inlineStr">
        <is>
          <t>BUCKMUN – Ohio State</t>
        </is>
      </c>
      <c r="B20" t="inlineStr">
        <is>
          <t>1902</t>
        </is>
      </c>
      <c r="C20" t="inlineStr">
        <is>
          <t>$3,343</t>
        </is>
      </c>
      <c r="D20" t="inlineStr">
        <is>
          <t>$2,145</t>
        </is>
      </c>
      <c r="E20" t="inlineStr">
        <is>
          <t>$2,174</t>
        </is>
      </c>
      <c r="F20" t="inlineStr">
        <is>
          <t>Van</t>
        </is>
      </c>
    </row>
    <row r="21">
      <c r="A21" t="inlineStr">
        <is>
          <t>ChoMUN – UChicago</t>
        </is>
      </c>
      <c r="B21" t="inlineStr">
        <is>
          <t>2176</t>
        </is>
      </c>
      <c r="C21" t="inlineStr">
        <is>
          <t>$3,659</t>
        </is>
      </c>
      <c r="D21" t="inlineStr">
        <is>
          <t>$2,283</t>
        </is>
      </c>
      <c r="E21" t="inlineStr">
        <is>
          <t>$2,351</t>
        </is>
      </c>
      <c r="F21" t="inlineStr">
        <is>
          <t>Van</t>
        </is>
      </c>
    </row>
    <row r="22">
      <c r="A22" t="inlineStr">
        <is>
          <t>VICS – UVA</t>
        </is>
      </c>
      <c r="B22" t="inlineStr">
        <is>
          <t>2000</t>
        </is>
      </c>
      <c r="C22" t="inlineStr">
        <is>
          <t>$3,456</t>
        </is>
      </c>
      <c r="D22" t="inlineStr">
        <is>
          <t>$2,130</t>
        </is>
      </c>
      <c r="E22" t="inlineStr">
        <is>
          <t>$2,237</t>
        </is>
      </c>
      <c r="F22" t="inlineStr">
        <is>
          <t>Van</t>
        </is>
      </c>
    </row>
    <row r="23">
      <c r="A23" t="inlineStr"/>
      <c r="B23" t="inlineStr"/>
      <c r="C23" t="inlineStr"/>
      <c r="D23" t="inlineStr"/>
      <c r="E23" t="inlineStr"/>
      <c r="F23" t="inlineStr"/>
    </row>
    <row r="24">
      <c r="A24" s="10" t="inlineStr">
        <is>
          <t>READ-OUT</t>
        </is>
      </c>
      <c r="B24" t="inlineStr"/>
      <c r="C24" t="inlineStr"/>
      <c r="D24" t="inlineStr"/>
      <c r="E24" t="inlineStr"/>
      <c r="F24" t="inlineStr"/>
    </row>
    <row r="25">
      <c r="A25" t="inlineStr">
        <is>
          <t>• Open never wins and can't clear its own $500 credit limit on long trips. Value+LD used in budget.</t>
        </is>
      </c>
      <c r="B25" t="inlineStr"/>
      <c r="C25" t="inlineStr"/>
      <c r="D25" t="inlineStr"/>
      <c r="E25" t="inlineStr"/>
      <c r="F25" t="inlineStr"/>
    </row>
    <row r="26">
      <c r="A26" t="inlineStr">
        <is>
          <t>• At 8 del a single van is cheapest; at 12 del Value+LD (3 small cars on Long Distance) edges 2 vans.</t>
        </is>
      </c>
      <c r="B26" t="inlineStr"/>
      <c r="C26" t="inlineStr"/>
      <c r="D26" t="inlineStr"/>
      <c r="E26" t="inlineStr"/>
      <c r="F26" t="inlineStr"/>
    </row>
    <row r="27">
      <c r="A27" t="inlineStr">
        <is>
          <t>• Montreal confs (McMUN/ConMUN) use Megabus $110 CAD RT/delegate – not shown here.</t>
        </is>
      </c>
      <c r="B27" t="inlineStr"/>
      <c r="C27" t="inlineStr"/>
      <c r="D27" t="inlineStr"/>
      <c r="E27" t="inlineStr"/>
      <c r="F27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40" customWidth="1" min="3" max="3"/>
    <col width="18" customWidth="1" min="4" max="4"/>
    <col width="40" customWidth="1" min="5" max="5"/>
  </cols>
  <sheetData>
    <row r="1">
      <c r="A1" s="44" t="inlineStr">
        <is>
          <t>PAYMENT TIMELINE – Selected Slate (7 confs)  ·  today: Jun 10, 2026</t>
        </is>
      </c>
    </row>
    <row r="2">
      <c r="A2" s="2" t="inlineStr">
        <is>
          <t>Chronological money + action schedule. Amounts = budgeted (regular-window) fees. Register in EARLY/PRIORITY windows to save ~$10-15/del where noted.</t>
        </is>
      </c>
    </row>
    <row r="3">
      <c r="A3" t="inlineStr"/>
      <c r="B3" t="inlineStr"/>
      <c r="C3" t="inlineStr"/>
      <c r="D3" t="inlineStr"/>
      <c r="E3" t="inlineStr"/>
    </row>
    <row r="4">
      <c r="A4" s="36" t="inlineStr">
        <is>
          <t>When</t>
        </is>
      </c>
      <c r="B4" s="36" t="inlineStr">
        <is>
          <t>Conference</t>
        </is>
      </c>
      <c r="C4" s="36" t="inlineStr">
        <is>
          <t>Action / Milestone</t>
        </is>
      </c>
      <c r="D4" s="36" t="inlineStr">
        <is>
          <t>Amount due</t>
        </is>
      </c>
      <c r="E4" s="36" t="inlineStr">
        <is>
          <t>Notes</t>
        </is>
      </c>
    </row>
    <row r="5">
      <c r="A5" s="24" t="inlineStr">
        <is>
          <t>PHASE 1 — REGISTER EARLY (lock rates, pay delegation deposits)</t>
        </is>
      </c>
      <c r="B5" s="4" t="n"/>
      <c r="C5" s="4" t="n"/>
      <c r="D5" s="45" t="n"/>
      <c r="E5" s="5" t="n"/>
    </row>
    <row r="6">
      <c r="A6" s="4" t="inlineStr">
        <is>
          <t>now → Aug 23, 2026</t>
        </is>
      </c>
      <c r="B6" s="4" t="inlineStr">
        <is>
          <t>NCSC</t>
        </is>
      </c>
      <c r="C6" s="4" t="inlineStr">
        <is>
          <t>Register (Regular window) + delegation deposit</t>
        </is>
      </c>
      <c r="D6" s="45" t="inlineStr">
        <is>
          <t>$90 USD</t>
        </is>
      </c>
      <c r="E6" s="5" t="inlineStr">
        <is>
          <t>Priority closed Apr 26; deposit non-refundable</t>
        </is>
      </c>
    </row>
    <row r="7">
      <c r="A7" s="4" t="inlineStr">
        <is>
          <t>now → Jul 31, 2026</t>
        </is>
      </c>
      <c r="B7" s="4" t="inlineStr">
        <is>
          <t>CIAC</t>
        </is>
      </c>
      <c r="C7" s="4" t="inlineStr">
        <is>
          <t>Register (Early) + delegation deposit</t>
        </is>
      </c>
      <c r="D7" s="45" t="inlineStr">
        <is>
          <t>$75 USD</t>
        </is>
      </c>
      <c r="E7" s="5" t="inlineStr">
        <is>
          <t>Early locks $80/del vs $90; delegates 11+ free</t>
        </is>
      </c>
    </row>
    <row r="8">
      <c r="A8" s="4" t="inlineStr">
        <is>
          <t>Jun 1 → Sep 6, 2026</t>
        </is>
      </c>
      <c r="B8" s="4" t="inlineStr">
        <is>
          <t>ChoMUN</t>
        </is>
      </c>
      <c r="C8" s="4" t="inlineStr">
        <is>
          <t>Register (Priority) + delegation deposit</t>
        </is>
      </c>
      <c r="D8" s="45" t="inlineStr">
        <is>
          <t>$50 USD</t>
        </is>
      </c>
      <c r="E8" s="5" t="inlineStr">
        <is>
          <t>First-time-school discount; locks $95/del priority</t>
        </is>
      </c>
    </row>
    <row r="9">
      <c r="A9" s="4" t="inlineStr">
        <is>
          <t>summer → Sep 2026</t>
        </is>
      </c>
      <c r="B9" s="4" t="inlineStr">
        <is>
          <t>McMUN</t>
        </is>
      </c>
      <c r="C9" s="4" t="inlineStr">
        <is>
          <t>Register when 2027 portal opens + deposit</t>
        </is>
      </c>
      <c r="D9" s="45" t="inlineStr">
        <is>
          <t>$80 CAD</t>
        </is>
      </c>
      <c r="E9" s="5" t="inlineStr">
        <is>
          <t>Watch mcmun.org; priority wave cheapest</t>
        </is>
      </c>
    </row>
    <row r="10">
      <c r="A10" s="4" t="inlineStr">
        <is>
          <t>~Sep 2026</t>
        </is>
      </c>
      <c r="B10" s="4" t="inlineStr">
        <is>
          <t>ConMUN</t>
        </is>
      </c>
      <c r="C10" s="4" t="inlineStr">
        <is>
          <t>Register (Early) + delegation deposit</t>
        </is>
      </c>
      <c r="D10" s="45" t="inlineStr">
        <is>
          <t>$100 CAD</t>
        </is>
      </c>
      <c r="E10" s="5" t="inlineStr">
        <is>
          <t>2027 portal TBD; early ~$110/del</t>
        </is>
      </c>
    </row>
    <row r="11">
      <c r="A11" s="4" t="inlineStr">
        <is>
          <t>Aug 10 → Sep 2, 2026</t>
        </is>
      </c>
      <c r="B11" s="4" t="inlineStr">
        <is>
          <t>RevMUNC</t>
        </is>
      </c>
      <c r="C11" s="4" t="inlineStr">
        <is>
          <t>Register (Early window) + interest form</t>
        </is>
      </c>
      <c r="D11" s="45" t="inlineStr">
        <is>
          <t>$60 USD</t>
        </is>
      </c>
      <c r="E11" s="5" t="inlineStr">
        <is>
          <t>Early locks $60/del vs $70; interest form = 10% off</t>
        </is>
      </c>
    </row>
    <row r="12">
      <c r="A12" s="46" t="inlineStr">
        <is>
          <t>by Sep 1, 2026</t>
        </is>
      </c>
      <c r="B12" s="32" t="inlineStr">
        <is>
          <t>NCSC</t>
        </is>
      </c>
      <c r="C12" s="46" t="inlineStr">
        <is>
          <t>Apply for NCSCAid (need-based grant)</t>
        </is>
      </c>
      <c r="D12" s="32" t="inlineStr">
        <is>
          <t>saves TBD</t>
        </is>
      </c>
      <c r="E12" s="47" t="inlineStr">
        <is>
          <t>Must be REGISTERED first. Inaugural fixed pool; email k.lozada@modelun.org for the amount</t>
        </is>
      </c>
    </row>
    <row r="13">
      <c r="A13" s="46" t="inlineStr">
        <is>
          <t>Aug 31 / Nov 16, 2026</t>
        </is>
      </c>
      <c r="B13" s="32" t="inlineStr">
        <is>
          <t>McMUN</t>
        </is>
      </c>
      <c r="C13" s="46" t="inlineStr">
        <is>
          <t>Apply for merit invoice discount (priority / regular wave)</t>
        </is>
      </c>
      <c r="D13" s="32" t="inlineStr">
        <is>
          <t>saves TBD</t>
        </is>
      </c>
      <c r="E13" s="47" t="inlineStr">
        <is>
          <t>Discounts the whole invoice; decisions Sep 15 / Dec 1, then 2 wks to pay. finance@mcmun.org</t>
        </is>
      </c>
    </row>
    <row r="14">
      <c r="A14" s="24" t="inlineStr">
        <is>
          <t>PHASE 2 — SET UP TRANSPORT (before first trip, Oct 2026)</t>
        </is>
      </c>
      <c r="B14" s="4" t="n"/>
      <c r="C14" s="4" t="n"/>
      <c r="D14" s="45" t="n"/>
      <c r="E14" s="5" t="n"/>
    </row>
    <row r="15">
      <c r="A15" s="4" t="inlineStr">
        <is>
          <t>by mid-Oct 2026</t>
        </is>
      </c>
      <c r="B15" s="4" t="inlineStr">
        <is>
          <t>Communauto</t>
        </is>
      </c>
      <c r="C15" s="4" t="inlineStr">
        <is>
          <t>Open 3 Value accounts ($5/mo) + post bonds</t>
        </is>
      </c>
      <c r="D15" s="45" t="inlineStr">
        <is>
          <t>$1,500 CAD</t>
        </is>
      </c>
      <c r="E15" s="5" t="inlineStr">
        <is>
          <t>Bonds REFUNDABLE; lifts credit limit to $1,000/acct</t>
        </is>
      </c>
    </row>
    <row r="16">
      <c r="A16" s="24" t="inlineStr">
        <is>
          <t>PHASE 3 — FALL CONFERENCES</t>
        </is>
      </c>
      <c r="B16" s="4" t="n"/>
      <c r="C16" s="4" t="n"/>
      <c r="D16" s="45" t="n"/>
      <c r="E16" s="5" t="n"/>
    </row>
    <row r="17">
      <c r="A17" s="4" t="inlineStr">
        <is>
          <t>by Oct 7, 2026</t>
        </is>
      </c>
      <c r="B17" s="4" t="inlineStr">
        <is>
          <t>NCSC</t>
        </is>
      </c>
      <c r="C17" s="4" t="inlineStr">
        <is>
          <t>Final delegate payment due</t>
        </is>
      </c>
      <c r="D17" s="45" t="inlineStr">
        <is>
          <t>$880 USD</t>
        </is>
      </c>
      <c r="E17" s="5" t="inlineStr">
        <is>
          <t>8 x $110; hard payment deadline</t>
        </is>
      </c>
    </row>
    <row r="18">
      <c r="A18" s="4" t="inlineStr">
        <is>
          <t>by Oct 9, 2026</t>
        </is>
      </c>
      <c r="B18" s="4" t="inlineStr">
        <is>
          <t>CIAC</t>
        </is>
      </c>
      <c r="C18" s="4" t="inlineStr">
        <is>
          <t>Late reg closes / balance due</t>
        </is>
      </c>
      <c r="D18" s="45" t="inlineStr">
        <is>
          <t>$900 USD</t>
        </is>
      </c>
      <c r="E18" s="5" t="inlineStr">
        <is>
          <t>10 x $90 (12 del, 2 free)</t>
        </is>
      </c>
    </row>
    <row r="19">
      <c r="A19" s="6" t="inlineStr">
        <is>
          <t>Oct 22-25, 2026</t>
        </is>
      </c>
      <c r="B19" s="48" t="inlineStr">
        <is>
          <t>CIAC</t>
        </is>
      </c>
      <c r="C19" s="6" t="inlineStr">
        <is>
          <t>CONFERENCE — Communauto trip + hotel</t>
        </is>
      </c>
      <c r="D19" s="48" t="inlineStr">
        <is>
          <t>~$1,463 CAD</t>
        </is>
      </c>
      <c r="E19" s="7" t="inlineStr">
        <is>
          <t>+ hotel $1,341 USD to Cayuga Blu</t>
        </is>
      </c>
    </row>
    <row r="20">
      <c r="A20" s="6" t="inlineStr">
        <is>
          <t>Nov 5-8, 2026</t>
        </is>
      </c>
      <c r="B20" s="48" t="inlineStr">
        <is>
          <t>NCSC</t>
        </is>
      </c>
      <c r="C20" s="6" t="inlineStr">
        <is>
          <t>CONFERENCE — Communauto trip + hotel</t>
        </is>
      </c>
      <c r="D20" s="48" t="inlineStr">
        <is>
          <t>~$1,770 CAD</t>
        </is>
      </c>
      <c r="E20" s="7" t="inlineStr">
        <is>
          <t>+ hotel $2,196 USD to Washington Hilton</t>
        </is>
      </c>
    </row>
    <row r="21">
      <c r="A21" s="24" t="inlineStr">
        <is>
          <t>PHASE 4 — WINTER / SPRING CONFERENCES</t>
        </is>
      </c>
      <c r="B21" s="4" t="n"/>
      <c r="C21" s="4" t="n"/>
      <c r="D21" s="45" t="n"/>
      <c r="E21" s="5" t="n"/>
    </row>
    <row r="22">
      <c r="A22" s="4" t="inlineStr">
        <is>
          <t>by ~Dec 25, 2026</t>
        </is>
      </c>
      <c r="B22" s="4" t="inlineStr">
        <is>
          <t>McMUN</t>
        </is>
      </c>
      <c r="C22" s="4" t="inlineStr">
        <is>
          <t>Hotel block cutoff (Le Centre Sheraton)</t>
        </is>
      </c>
      <c r="D22" s="45" t="inlineStr">
        <is>
          <t>$3,510 CAD</t>
        </is>
      </c>
      <c r="E22" s="5" t="inlineStr">
        <is>
          <t>5 rms x 3 nts x $234; reconfirm 2027 cutoff date</t>
        </is>
      </c>
    </row>
    <row r="23">
      <c r="A23" s="4" t="inlineStr">
        <is>
          <t>by ~late Dec 2026</t>
        </is>
      </c>
      <c r="B23" s="4" t="inlineStr">
        <is>
          <t>McMUN</t>
        </is>
      </c>
      <c r="C23" s="4" t="inlineStr">
        <is>
          <t>Book Megabus (~1 mo out) + final delegate pay</t>
        </is>
      </c>
      <c r="D23" s="45" t="inlineStr">
        <is>
          <t>$2,200 + $2,500 CAD</t>
        </is>
      </c>
      <c r="E23" s="5" t="inlineStr">
        <is>
          <t>Bus 20x$110; del fees 20x$125 (est)</t>
        </is>
      </c>
    </row>
    <row r="24">
      <c r="A24" s="4" t="inlineStr">
        <is>
          <t>Jan 10, 2027</t>
        </is>
      </c>
      <c r="B24" s="4" t="inlineStr">
        <is>
          <t>ChoMUN</t>
        </is>
      </c>
      <c r="C24" s="4" t="inlineStr">
        <is>
          <t>Regular registration closes</t>
        </is>
      </c>
      <c r="D24" s="45" t="inlineStr">
        <is>
          <t>—</t>
        </is>
      </c>
      <c r="E24" s="5" t="inlineStr">
        <is>
          <t>Late window after = higher per-del fee</t>
        </is>
      </c>
    </row>
    <row r="25">
      <c r="A25" s="4" t="inlineStr">
        <is>
          <t>Jan 19, 2027</t>
        </is>
      </c>
      <c r="B25" s="4" t="inlineStr">
        <is>
          <t>VICS</t>
        </is>
      </c>
      <c r="C25" s="4" t="inlineStr">
        <is>
          <t>Delegate fees refundable until this date</t>
        </is>
      </c>
      <c r="D25" s="45" t="inlineStr">
        <is>
          <t>—</t>
        </is>
      </c>
      <c r="E25" s="5" t="inlineStr">
        <is>
          <t>After: owed in full even if you withdraw</t>
        </is>
      </c>
    </row>
    <row r="26">
      <c r="A26" s="6" t="inlineStr">
        <is>
          <t>Jan 28-31, 2027</t>
        </is>
      </c>
      <c r="B26" s="48" t="inlineStr">
        <is>
          <t>McMUN</t>
        </is>
      </c>
      <c r="C26" s="6" t="inlineStr">
        <is>
          <t>CONFERENCE — Megabus + hotel</t>
        </is>
      </c>
      <c r="D26" s="48" t="inlineStr">
        <is>
          <t>(paid above)</t>
        </is>
      </c>
      <c r="E26" s="7" t="inlineStr">
        <is>
          <t>Sheraton, Montreal</t>
        </is>
      </c>
    </row>
    <row r="27">
      <c r="A27" s="4" t="inlineStr">
        <is>
          <t>by ~Feb 2027</t>
        </is>
      </c>
      <c r="B27" s="4" t="inlineStr">
        <is>
          <t>ConMUN</t>
        </is>
      </c>
      <c r="C27" s="4" t="inlineStr">
        <is>
          <t>Book Megabus + final delegate payment</t>
        </is>
      </c>
      <c r="D27" s="45" t="inlineStr">
        <is>
          <t>$2,200 + $2,500 CAD</t>
        </is>
      </c>
      <c r="E27" s="5" t="inlineStr">
        <is>
          <t>Hotel $3,435 CAD to DoubleTree</t>
        </is>
      </c>
    </row>
    <row r="28">
      <c r="A28" s="4" t="inlineStr">
        <is>
          <t>Feb 12, 2027</t>
        </is>
      </c>
      <c r="B28" s="4" t="inlineStr">
        <is>
          <t>RevMUNC</t>
        </is>
      </c>
      <c r="C28" s="4" t="inlineStr">
        <is>
          <t>Late reg closes / balance due</t>
        </is>
      </c>
      <c r="D28" s="45" t="inlineStr">
        <is>
          <t>$560 USD</t>
        </is>
      </c>
      <c r="E28" s="5" t="inlineStr">
        <is>
          <t>8 x $70; pay before late window steps up to $80</t>
        </is>
      </c>
    </row>
    <row r="29">
      <c r="A29" s="6" t="inlineStr">
        <is>
          <t>Feb 18-21, 2027</t>
        </is>
      </c>
      <c r="B29" s="48" t="inlineStr">
        <is>
          <t>RevMUNC</t>
        </is>
      </c>
      <c r="C29" s="6" t="inlineStr">
        <is>
          <t>CONFERENCE — Communauto + hotel</t>
        </is>
      </c>
      <c r="D29" s="48" t="inlineStr">
        <is>
          <t>~$1,189 CAD</t>
        </is>
      </c>
      <c r="E29" s="7" t="inlineStr">
        <is>
          <t>DC drive (same as NCSC) + hotel $1,380 USD; reading-week wk2</t>
        </is>
      </c>
    </row>
    <row r="30">
      <c r="A30" s="4" t="inlineStr">
        <is>
          <t>Mar 1, 2027</t>
        </is>
      </c>
      <c r="B30" s="4" t="inlineStr">
        <is>
          <t>VICS</t>
        </is>
      </c>
      <c r="C30" s="4" t="inlineStr">
        <is>
          <t>Late registration closes</t>
        </is>
      </c>
      <c r="D30" s="45" t="inlineStr">
        <is>
          <t>—</t>
        </is>
      </c>
      <c r="E30" s="5" t="inlineStr">
        <is>
          <t>VICS 31 dates/windows TBD — verify</t>
        </is>
      </c>
    </row>
    <row r="31">
      <c r="A31" s="4" t="inlineStr">
        <is>
          <t>Mar 5, 2027</t>
        </is>
      </c>
      <c r="B31" s="4" t="inlineStr">
        <is>
          <t>ChoMUN</t>
        </is>
      </c>
      <c r="C31" s="4" t="inlineStr">
        <is>
          <t>Payment deadline</t>
        </is>
      </c>
      <c r="D31" s="45" t="inlineStr">
        <is>
          <t>$880 USD</t>
        </is>
      </c>
      <c r="E31" s="5" t="inlineStr">
        <is>
          <t>8 x $110; +5% if paying by credit card</t>
        </is>
      </c>
    </row>
    <row r="32">
      <c r="A32" s="6" t="inlineStr">
        <is>
          <t>Mar 11-14, 2027</t>
        </is>
      </c>
      <c r="B32" s="48" t="inlineStr">
        <is>
          <t>ConMUN</t>
        </is>
      </c>
      <c r="C32" s="6" t="inlineStr">
        <is>
          <t>CONFERENCE — Megabus + hotel</t>
        </is>
      </c>
      <c r="D32" s="48" t="inlineStr">
        <is>
          <t>(paid above)</t>
        </is>
      </c>
      <c r="E32" s="7" t="inlineStr">
        <is>
          <t>DoubleTree, Montreal (2027 dates TBD)</t>
        </is>
      </c>
    </row>
    <row r="33">
      <c r="A33" s="6" t="inlineStr">
        <is>
          <t>Mar 25-28, 2027</t>
        </is>
      </c>
      <c r="B33" s="48" t="inlineStr">
        <is>
          <t>ChoMUN</t>
        </is>
      </c>
      <c r="C33" s="6" t="inlineStr">
        <is>
          <t>CONFERENCE — Communauto + hotel</t>
        </is>
      </c>
      <c r="D33" s="48" t="inlineStr">
        <is>
          <t>~$2,315 CAD</t>
        </is>
      </c>
      <c r="E33" s="7" t="inlineStr">
        <is>
          <t>+ hotel $1,206 USD to Palmer House</t>
        </is>
      </c>
    </row>
    <row r="34">
      <c r="A34" s="6" t="inlineStr">
        <is>
          <t>Mar 25-28, 2027</t>
        </is>
      </c>
      <c r="B34" s="48" t="inlineStr">
        <is>
          <t>VICS</t>
        </is>
      </c>
      <c r="C34" s="6" t="inlineStr">
        <is>
          <t>CONFERENCE — Communauto + hotel + balance</t>
        </is>
      </c>
      <c r="D34" s="48" t="inlineStr">
        <is>
          <t>~$3,270 CAD</t>
        </is>
      </c>
      <c r="E34" s="7" t="inlineStr">
        <is>
          <t>+ del fees $1,260 USD + hotel $1,701 USD</t>
        </is>
      </c>
    </row>
    <row r="35">
      <c r="A35" s="46" t="inlineStr">
        <is>
          <t>AFTER SEASON</t>
        </is>
      </c>
      <c r="B35" s="46" t="inlineStr">
        <is>
          <t>Communauto</t>
        </is>
      </c>
      <c r="C35" s="46" t="inlineStr">
        <is>
          <t>Reclaim 3 x $500 bonds</t>
        </is>
      </c>
      <c r="D35" s="32" t="inlineStr">
        <is>
          <t>+$1,500 CAD</t>
        </is>
      </c>
      <c r="E35" s="47" t="inlineStr">
        <is>
          <t>Refundable after 1 yr (3 mo notice)</t>
        </is>
      </c>
    </row>
  </sheetData>
  <mergeCells count="6">
    <mergeCell ref="A21:E21"/>
    <mergeCell ref="A2:E2"/>
    <mergeCell ref="A16:E16"/>
    <mergeCell ref="A1:E1"/>
    <mergeCell ref="A5:E5"/>
    <mergeCell ref="A14:E1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40" customWidth="1" min="4" max="4"/>
    <col width="15" customWidth="1" min="5" max="5"/>
    <col width="40" customWidth="1" min="6" max="6"/>
  </cols>
  <sheetData>
    <row r="1">
      <c r="A1" s="35" t="inlineStr">
        <is>
          <t>RAIL SCREEN – can we take the train instead of driving/flying?  (excl. McMUN/ConMUN, which use Megabus)</t>
        </is>
      </c>
    </row>
    <row r="2" ht="28" customHeight="1">
      <c r="A2" s="49" t="inlineStr">
        <is>
          <t>Verdict: NON-STARTER for all US confs. Kingston has NO Amtrak — every trip = VIA Rail to a gateway + Amtrak cross-border, which forces 1-2 hotel overnights before you reach the US. Sourced June 2026.</t>
        </is>
      </c>
    </row>
    <row r="3">
      <c r="A3" t="inlineStr"/>
      <c r="B3" t="inlineStr"/>
      <c r="C3" t="inlineStr"/>
      <c r="D3" t="inlineStr"/>
      <c r="E3" t="inlineStr"/>
      <c r="F3" t="inlineStr"/>
    </row>
    <row r="4">
      <c r="A4" s="8" t="inlineStr">
        <is>
          <t>THE STRUCTURAL KILLER</t>
        </is>
      </c>
      <c r="B4" s="8" t="inlineStr"/>
      <c r="C4" s="8" t="inlineStr"/>
      <c r="D4" s="8" t="inlineStr"/>
      <c r="E4" s="8" t="inlineStr"/>
      <c r="F4" s="8" t="inlineStr"/>
    </row>
    <row r="5">
      <c r="A5" t="inlineStr">
        <is>
          <t>• Only cross-border trains: Maple Leaf (Toronto&gt;NYC) &amp; Adirondack (Montreal&gt;NYC) — both ~12-13h incl. ~2h border stop.</t>
        </is>
      </c>
      <c r="B5" t="inlineStr"/>
      <c r="C5" t="inlineStr"/>
      <c r="D5" t="inlineStr"/>
      <c r="E5" t="inlineStr"/>
      <c r="F5" t="inlineStr"/>
    </row>
    <row r="6">
      <c r="A6" t="inlineStr">
        <is>
          <t>• Both depart their Canadian gateway in the MORNING and arrive NYC at NIGHT — too late for any same-day southbound leg.</t>
        </is>
      </c>
      <c r="B6" t="inlineStr"/>
      <c r="C6" t="inlineStr"/>
      <c r="D6" t="inlineStr"/>
      <c r="E6" t="inlineStr"/>
      <c r="F6" t="inlineStr"/>
    </row>
    <row r="7">
      <c r="A7" t="inlineStr">
        <is>
          <t>• Result: a Toronto/Montreal overnight before the US, then a 2nd NYC overnight before going south. No US conf reachable by train in under 2 days.</t>
        </is>
      </c>
      <c r="B7" t="inlineStr"/>
      <c r="C7" t="inlineStr"/>
      <c r="D7" t="inlineStr"/>
      <c r="E7" t="inlineStr"/>
      <c r="F7" t="inlineStr"/>
    </row>
    <row r="8">
      <c r="A8" t="inlineStr"/>
      <c r="B8" t="inlineStr"/>
      <c r="C8" t="inlineStr"/>
      <c r="D8" t="inlineStr"/>
      <c r="E8" t="inlineStr"/>
      <c r="F8" t="inlineStr"/>
    </row>
    <row r="9">
      <c r="A9" s="36" t="inlineStr">
        <is>
          <t>Conference</t>
        </is>
      </c>
      <c r="B9" s="36" t="inlineStr">
        <is>
          <t>City</t>
        </is>
      </c>
      <c r="C9" s="36" t="inlineStr">
        <is>
          <t>Current plan</t>
        </is>
      </c>
      <c r="D9" s="36" t="inlineStr">
        <is>
          <t>Best train (moving time)</t>
        </is>
      </c>
      <c r="E9" s="36" t="inlineStr">
        <is>
          <t>Rail fare ~1-way</t>
        </is>
      </c>
      <c r="F9" s="36" t="inlineStr">
        <is>
          <t>Verdict</t>
        </is>
      </c>
    </row>
    <row r="10" ht="28" customHeight="1">
      <c r="A10" s="4" t="inlineStr">
        <is>
          <t>CIAC</t>
        </is>
      </c>
      <c r="B10" s="4" t="inlineStr">
        <is>
          <t>Ithaca, NY</t>
        </is>
      </c>
      <c r="C10" s="4" t="inlineStr">
        <is>
          <t>Drive 3.5h</t>
        </is>
      </c>
      <c r="D10" s="5" t="inlineStr">
        <is>
          <t>No rail to city — nearest Amtrak is Syracuse + 60 mi by car</t>
        </is>
      </c>
      <c r="E10" s="4" t="inlineStr">
        <is>
          <t>n/a</t>
        </is>
      </c>
      <c r="F10" s="50" t="inlineStr">
        <is>
          <t>ABSURD — Ithaca has zero Amtrak service</t>
        </is>
      </c>
    </row>
    <row r="11" ht="28" customHeight="1">
      <c r="A11" s="4" t="inlineStr">
        <is>
          <t>UPMUNC</t>
        </is>
      </c>
      <c r="B11" s="4" t="inlineStr">
        <is>
          <t>Philadelphia, PA</t>
        </is>
      </c>
      <c r="C11" s="4" t="inlineStr">
        <is>
          <t>Drive 6.5h</t>
        </is>
      </c>
      <c r="D11" s="5" t="inlineStr">
        <is>
          <t>~16h, 2 transfers</t>
        </is>
      </c>
      <c r="E11" s="4" t="inlineStr">
        <is>
          <t>US$185-210</t>
        </is>
      </c>
      <c r="F11" s="5" t="inlineStr">
        <is>
          <t>Non-starter (1-2 overnights each way)</t>
        </is>
      </c>
    </row>
    <row r="12" ht="28" customHeight="1">
      <c r="A12" s="4" t="inlineStr">
        <is>
          <t>NCSC</t>
        </is>
      </c>
      <c r="B12" s="4" t="inlineStr">
        <is>
          <t>Washington, DC</t>
        </is>
      </c>
      <c r="C12" s="4" t="inlineStr">
        <is>
          <t>Drive 8h</t>
        </is>
      </c>
      <c r="D12" s="5" t="inlineStr">
        <is>
          <t>~18h, 2 transfers</t>
        </is>
      </c>
      <c r="E12" s="4" t="inlineStr">
        <is>
          <t>US$200-230</t>
        </is>
      </c>
      <c r="F12" s="5" t="inlineStr">
        <is>
          <t>Non-starter (1-2 overnights each way)</t>
        </is>
      </c>
    </row>
    <row r="13" ht="28" customHeight="1">
      <c r="A13" s="4" t="inlineStr">
        <is>
          <t>BUCKMUN</t>
        </is>
      </c>
      <c r="B13" s="4" t="inlineStr">
        <is>
          <t>Columbus, OH</t>
        </is>
      </c>
      <c r="C13" s="4" t="inlineStr">
        <is>
          <t>Drive 9h</t>
        </is>
      </c>
      <c r="D13" s="5" t="inlineStr">
        <is>
          <t>No rail to city at all</t>
        </is>
      </c>
      <c r="E13" s="4" t="inlineStr">
        <is>
          <t>n/a</t>
        </is>
      </c>
      <c r="F13" s="50" t="inlineStr">
        <is>
          <t>IMPOSSIBLE — Columbus has zero Amtrak (largest US metro w/ none)</t>
        </is>
      </c>
    </row>
    <row r="14" ht="28" customHeight="1">
      <c r="A14" s="4" t="inlineStr">
        <is>
          <t>CHOMUN</t>
        </is>
      </c>
      <c r="B14" s="4" t="inlineStr">
        <is>
          <t>Chicago, IL</t>
        </is>
      </c>
      <c r="C14" s="4" t="inlineStr">
        <is>
          <t>Drive 10h</t>
        </is>
      </c>
      <c r="D14" s="5" t="inlineStr">
        <is>
          <t>~34h, 3 transfers</t>
        </is>
      </c>
      <c r="E14" s="4" t="inlineStr">
        <is>
          <t>US$300+</t>
        </is>
      </c>
      <c r="F14" s="5" t="inlineStr">
        <is>
          <t>Non-starter (2 hotels + on-train overnight)</t>
        </is>
      </c>
    </row>
    <row r="15" ht="28" customHeight="1">
      <c r="A15" s="4" t="inlineStr">
        <is>
          <t>VICS</t>
        </is>
      </c>
      <c r="B15" s="4" t="inlineStr">
        <is>
          <t>Charlottesville, VA</t>
        </is>
      </c>
      <c r="C15" s="4" t="inlineStr">
        <is>
          <t>Drive 11-13h</t>
        </is>
      </c>
      <c r="D15" s="5" t="inlineStr">
        <is>
          <t>~22-26h, 2-3 transfers</t>
        </is>
      </c>
      <c r="E15" s="4" t="inlineStr">
        <is>
          <t>US$215-250</t>
        </is>
      </c>
      <c r="F15" s="5" t="inlineStr">
        <is>
          <t>Non-starter (closest call; drive is also brutal)</t>
        </is>
      </c>
    </row>
    <row r="16" ht="28" customHeight="1">
      <c r="A16" s="4" t="inlineStr">
        <is>
          <t>UNCMUNC</t>
        </is>
      </c>
      <c r="B16" s="4" t="inlineStr">
        <is>
          <t>Durham/Raleigh, NC</t>
        </is>
      </c>
      <c r="C16" s="4" t="inlineStr">
        <is>
          <t>Fly $425 RT</t>
        </is>
      </c>
      <c r="D16" s="5" t="inlineStr">
        <is>
          <t>~26h, 3 transfers</t>
        </is>
      </c>
      <c r="E16" s="4" t="inlineStr">
        <is>
          <t>~US$240 (~$480 RT)</t>
        </is>
      </c>
      <c r="F16" s="5" t="inlineStr">
        <is>
          <t>Non-starter — RT fare ~matches flight, +4 hotel nights &amp; ~5x the time</t>
        </is>
      </c>
    </row>
    <row r="17">
      <c r="A17" t="inlineStr"/>
      <c r="B17" t="inlineStr"/>
      <c r="C17" t="inlineStr"/>
      <c r="D17" t="inlineStr"/>
      <c r="E17" t="inlineStr"/>
      <c r="F17" t="inlineStr"/>
    </row>
    <row r="18">
      <c r="A18" s="8" t="inlineStr">
        <is>
          <t>REFERENCE LEGS (verified 2026)</t>
        </is>
      </c>
      <c r="B18" s="8" t="inlineStr"/>
      <c r="C18" s="8" t="inlineStr"/>
      <c r="D18" s="8" t="inlineStr"/>
      <c r="E18" s="8" t="inlineStr"/>
      <c r="F18" s="8" t="inlineStr"/>
    </row>
    <row r="19">
      <c r="A19" t="inlineStr">
        <is>
          <t>VIA Rail Kingston&gt;Toronto</t>
        </is>
      </c>
      <c r="B19" t="inlineStr">
        <is>
          <t>~2h</t>
        </is>
      </c>
      <c r="C19" t="inlineStr">
        <is>
          <t>~C$44-65 econ</t>
        </is>
      </c>
      <c r="D19" t="inlineStr">
        <is>
          <t>Frequent daily corridor service</t>
        </is>
      </c>
      <c r="E19" t="inlineStr"/>
      <c r="F19" t="inlineStr"/>
    </row>
    <row r="20">
      <c r="A20" t="inlineStr">
        <is>
          <t>VIA Rail Kingston&gt;Montreal</t>
        </is>
      </c>
      <c r="B20" t="inlineStr">
        <is>
          <t>~2.5h</t>
        </is>
      </c>
      <c r="C20" t="inlineStr">
        <is>
          <t>~C$30-70 econ</t>
        </is>
      </c>
      <c r="D20" t="inlineStr"/>
      <c r="E20" t="inlineStr"/>
      <c r="F20" t="inlineStr"/>
    </row>
    <row r="21">
      <c r="A21" t="inlineStr">
        <is>
          <t>Amtrak Maple Leaf Toronto&gt;NYC</t>
        </is>
      </c>
      <c r="B21" t="inlineStr">
        <is>
          <t>~12-13h</t>
        </is>
      </c>
      <c r="C21" t="inlineStr">
        <is>
          <t>~US$90-150</t>
        </is>
      </c>
      <c r="D21" t="inlineStr">
        <is>
          <t>Dep Toronto 08:20, arr NY Penn ~21:15; ~2h border @ Niagara. Running 2026.</t>
        </is>
      </c>
      <c r="E21" t="inlineStr"/>
      <c r="F21" t="inlineStr"/>
    </row>
    <row r="22">
      <c r="A22" t="inlineStr">
        <is>
          <t>Amtrak Adirondack Montreal&gt;NYC</t>
        </is>
      </c>
      <c r="B22" t="inlineStr">
        <is>
          <t>~11-12h</t>
        </is>
      </c>
      <c r="C22" t="inlineStr">
        <is>
          <t>~US$70-130</t>
        </is>
      </c>
      <c r="D22" t="inlineStr">
        <is>
          <t>Resumed after 2023-24 suspension; running 2026.</t>
        </is>
      </c>
      <c r="E22" t="inlineStr"/>
      <c r="F22" t="inlineStr"/>
    </row>
    <row r="23">
      <c r="A23" t="inlineStr">
        <is>
          <t>Amtrak NE Regional NYC&gt;DC / &gt;Philadelphia</t>
        </is>
      </c>
      <c r="B23" t="inlineStr">
        <is>
          <t>3.5h / 1.5h</t>
        </is>
      </c>
      <c r="C23" t="inlineStr">
        <is>
          <t>from US$20 / US$25</t>
        </is>
      </c>
      <c r="D23" t="inlineStr">
        <is>
          <t>Frequent same-day once on the NEC</t>
        </is>
      </c>
      <c r="E23" t="inlineStr"/>
      <c r="F23" t="inlineStr"/>
    </row>
    <row r="24">
      <c r="A24" t="inlineStr">
        <is>
          <t>Amtrak Lake Shore Limited NYC&gt;Chicago</t>
        </is>
      </c>
      <c r="B24" t="inlineStr">
        <is>
          <t>~19-20h</t>
        </is>
      </c>
      <c r="C24" t="inlineStr">
        <is>
          <t>from US$172</t>
        </is>
      </c>
      <c r="D24" t="inlineStr">
        <is>
          <t>Dep NY 15:40 — hours before Maple Leaf arrives, so no same-day connect</t>
        </is>
      </c>
      <c r="E24" t="inlineStr"/>
      <c r="F24" t="inlineStr"/>
    </row>
    <row r="25">
      <c r="A25" t="inlineStr">
        <is>
          <t>Amtrak Carolinian NYC/DC&gt;Durham NC</t>
        </is>
      </c>
      <c r="B25" t="inlineStr">
        <is>
          <t>~11-13h / ~7h</t>
        </is>
      </c>
      <c r="C25" t="inlineStr">
        <is>
          <t>from US$86 / US$59</t>
        </is>
      </c>
      <c r="D25" t="inlineStr">
        <is>
          <t>One-seat ride; the NC end is good, the Kingston&gt;NEC end is the problem</t>
        </is>
      </c>
      <c r="E25" t="inlineStr"/>
      <c r="F25" t="inlineStr"/>
    </row>
    <row r="26">
      <c r="A26" t="inlineStr"/>
      <c r="B26" t="inlineStr"/>
      <c r="C26" t="inlineStr"/>
      <c r="D26" t="inlineStr"/>
      <c r="E26" t="inlineStr"/>
      <c r="F26" t="inlineStr"/>
    </row>
    <row r="27">
      <c r="A27" s="8" t="inlineStr">
        <is>
          <t>TWO NEAR-MISSES (still rejected)</t>
        </is>
      </c>
      <c r="B27" s="8" t="inlineStr"/>
      <c r="C27" s="8" t="inlineStr"/>
      <c r="D27" s="8" t="inlineStr"/>
      <c r="E27" s="8" t="inlineStr"/>
      <c r="F27" s="8" t="inlineStr"/>
    </row>
    <row r="28">
      <c r="A28" t="inlineStr">
        <is>
          <t>• UNCMUNC: NC end is great (Carolinian one-seat to Durham), but RT rail ~= the $425 flight and adds ~4 hotel nights + days of transit. Fly stays correct.</t>
        </is>
      </c>
      <c r="B28" t="inlineStr"/>
      <c r="C28" t="inlineStr"/>
      <c r="D28" t="inlineStr"/>
      <c r="E28" t="inlineStr"/>
      <c r="F28" t="inlineStr"/>
    </row>
    <row r="29">
      <c r="A29" t="inlineStr">
        <is>
          <t>• VICS: only one where rail's downside shrinks — because a 13h drive is itself miserable. Still 2 overnights each way. Not viable for a student team.</t>
        </is>
      </c>
      <c r="B29" t="inlineStr"/>
      <c r="C29" t="inlineStr"/>
      <c r="D29" t="inlineStr"/>
      <c r="E29" t="inlineStr"/>
      <c r="F29" t="inlineStr"/>
    </row>
    <row r="30">
      <c r="A30" t="inlineStr"/>
      <c r="B30" t="inlineStr"/>
      <c r="C30" t="inlineStr"/>
      <c r="D30" t="inlineStr"/>
      <c r="E30" t="inlineStr"/>
      <c r="F30" t="inlineStr"/>
    </row>
    <row r="31">
      <c r="A31" s="51" t="inlineStr">
        <is>
          <t>NET: nothing changes in the budget. Communauto wins the close US trips, flying wins UNCMUNC, Megabus wins Montreal. Rail beats none of them.</t>
        </is>
      </c>
      <c r="B31" s="52" t="inlineStr"/>
      <c r="C31" s="52" t="inlineStr"/>
      <c r="D31" s="52" t="inlineStr"/>
      <c r="E31" s="52" t="inlineStr"/>
      <c r="F31" s="52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8" customWidth="1" min="3" max="3"/>
    <col width="16" customWidth="1" min="4" max="4"/>
    <col width="16" customWidth="1" min="5" max="5"/>
    <col width="14" customWidth="1" min="6" max="6"/>
  </cols>
  <sheetData>
    <row r="1" ht="22" customHeight="1">
      <c r="A1" s="35" t="inlineStr">
        <is>
          <t>DELEGATE FEES — live: what each delegate's fee covers, per the current Scenario Builder slate</t>
        </is>
      </c>
    </row>
    <row r="2" ht="40" customHeight="1">
      <c r="A2" s="17" t="inlineStr">
        <is>
          <t>NET @ fee = that conference's own Fee /del × delegates − its all-in cost (reg + hotel + travel +10%). Negative (red) = club subsidizes; positive (green) = surplus. Each fee is set per conference on the Scenario Builder. Toggle confs / counts / per-conf fees there and this follows. CAD.</t>
        </is>
      </c>
    </row>
    <row r="3">
      <c r="A3" s="2" t="inlineStr">
        <is>
          <t>Break-even /del = the per-delegate fee that exactly covers THAT conference. For reference, a delegate typically pays ~$300-450/conf.</t>
        </is>
      </c>
    </row>
    <row r="4">
      <c r="A4" t="inlineStr"/>
      <c r="B4" t="inlineStr"/>
      <c r="C4" t="inlineStr"/>
      <c r="D4" t="inlineStr"/>
      <c r="E4" t="inlineStr"/>
      <c r="F4" t="inlineStr"/>
    </row>
    <row r="5">
      <c r="A5" s="3" t="inlineStr">
        <is>
          <t>Conference</t>
        </is>
      </c>
      <c r="B5" s="3" t="inlineStr">
        <is>
          <t>Go?</t>
        </is>
      </c>
      <c r="C5" s="3" t="inlineStr">
        <is>
          <t>Del</t>
        </is>
      </c>
      <c r="D5" s="3" t="inlineStr">
        <is>
          <t>Club cost (CAD)</t>
        </is>
      </c>
      <c r="E5" s="3" t="inlineStr">
        <is>
          <t>Break-even /del</t>
        </is>
      </c>
      <c r="F5" s="3" t="inlineStr">
        <is>
          <t>Net @ fee</t>
        </is>
      </c>
    </row>
    <row r="6">
      <c r="A6" s="4" t="inlineStr">
        <is>
          <t>UPMUNC – Penn</t>
        </is>
      </c>
      <c r="B6" s="40">
        <f>'Scenario Builder'!B5</f>
        <v/>
      </c>
      <c r="C6" s="40">
        <f>IF('Scenario Builder'!B5=1,'Scenario Builder'!C5,"—")</f>
        <v/>
      </c>
      <c r="D6" s="20">
        <f>'Scenario Builder'!E5</f>
        <v/>
      </c>
      <c r="E6" s="20">
        <f>IF('Scenario Builder'!B5=1,'Scenario Builder'!D5/'Scenario Builder'!C5,"—")</f>
        <v/>
      </c>
      <c r="F6" s="20">
        <f>IF('Scenario Builder'!B5=1,'Scenario Builder'!F5*'Scenario Builder'!C5-'Scenario Builder'!D5,"—")</f>
        <v/>
      </c>
    </row>
    <row r="7">
      <c r="A7" s="4" t="inlineStr">
        <is>
          <t>CIAC – Cornell</t>
        </is>
      </c>
      <c r="B7" s="40">
        <f>'Scenario Builder'!B6</f>
        <v/>
      </c>
      <c r="C7" s="40">
        <f>IF('Scenario Builder'!B6=1,'Scenario Builder'!C6,"—")</f>
        <v/>
      </c>
      <c r="D7" s="20">
        <f>'Scenario Builder'!E6</f>
        <v/>
      </c>
      <c r="E7" s="20">
        <f>IF('Scenario Builder'!B6=1,'Scenario Builder'!D6/'Scenario Builder'!C6,"—")</f>
        <v/>
      </c>
      <c r="F7" s="20">
        <f>IF('Scenario Builder'!B6=1,'Scenario Builder'!F6*'Scenario Builder'!C6-'Scenario Builder'!D6,"—")</f>
        <v/>
      </c>
    </row>
    <row r="8">
      <c r="A8" s="4" t="inlineStr">
        <is>
          <t>NCSC – Georgetown</t>
        </is>
      </c>
      <c r="B8" s="40">
        <f>'Scenario Builder'!B7</f>
        <v/>
      </c>
      <c r="C8" s="40">
        <f>IF('Scenario Builder'!B7=1,'Scenario Builder'!C7,"—")</f>
        <v/>
      </c>
      <c r="D8" s="20">
        <f>'Scenario Builder'!E7</f>
        <v/>
      </c>
      <c r="E8" s="20">
        <f>IF('Scenario Builder'!B7=1,'Scenario Builder'!D7/'Scenario Builder'!C7,"—")</f>
        <v/>
      </c>
      <c r="F8" s="20">
        <f>IF('Scenario Builder'!B7=1,'Scenario Builder'!F7*'Scenario Builder'!C7-'Scenario Builder'!D7,"—")</f>
        <v/>
      </c>
    </row>
    <row r="9">
      <c r="A9" s="4" t="inlineStr">
        <is>
          <t>UNCMUNC – UNC</t>
        </is>
      </c>
      <c r="B9" s="40">
        <f>'Scenario Builder'!B8</f>
        <v/>
      </c>
      <c r="C9" s="40">
        <f>IF('Scenario Builder'!B8=1,'Scenario Builder'!C8,"—")</f>
        <v/>
      </c>
      <c r="D9" s="20">
        <f>'Scenario Builder'!E8</f>
        <v/>
      </c>
      <c r="E9" s="20">
        <f>IF('Scenario Builder'!B8=1,'Scenario Builder'!D8/'Scenario Builder'!C8,"—")</f>
        <v/>
      </c>
      <c r="F9" s="20">
        <f>IF('Scenario Builder'!B8=1,'Scenario Builder'!F8*'Scenario Builder'!C8-'Scenario Builder'!D8,"—")</f>
        <v/>
      </c>
    </row>
    <row r="10">
      <c r="A10" s="4" t="inlineStr">
        <is>
          <t>McMUN – McGill  [16 or 20]</t>
        </is>
      </c>
      <c r="B10" s="40">
        <f>'Scenario Builder'!B9</f>
        <v/>
      </c>
      <c r="C10" s="40">
        <f>IF('Scenario Builder'!B9=1,'Scenario Builder'!C9,"—")</f>
        <v/>
      </c>
      <c r="D10" s="20">
        <f>'Scenario Builder'!E9</f>
        <v/>
      </c>
      <c r="E10" s="20">
        <f>IF('Scenario Builder'!B9=1,'Scenario Builder'!D9/'Scenario Builder'!C9,"—")</f>
        <v/>
      </c>
      <c r="F10" s="20">
        <f>IF('Scenario Builder'!B9=1,'Scenario Builder'!F9*'Scenario Builder'!C9-'Scenario Builder'!D9,"—")</f>
        <v/>
      </c>
    </row>
    <row r="11">
      <c r="A11" s="4" t="inlineStr">
        <is>
          <t>BUCKMUN – Ohio State</t>
        </is>
      </c>
      <c r="B11" s="40">
        <f>'Scenario Builder'!B10</f>
        <v/>
      </c>
      <c r="C11" s="40">
        <f>IF('Scenario Builder'!B10=1,'Scenario Builder'!C10,"—")</f>
        <v/>
      </c>
      <c r="D11" s="20">
        <f>'Scenario Builder'!E10</f>
        <v/>
      </c>
      <c r="E11" s="20">
        <f>IF('Scenario Builder'!B10=1,'Scenario Builder'!D10/'Scenario Builder'!C10,"—")</f>
        <v/>
      </c>
      <c r="F11" s="20">
        <f>IF('Scenario Builder'!B10=1,'Scenario Builder'!F10*'Scenario Builder'!C10-'Scenario Builder'!D10,"—")</f>
        <v/>
      </c>
    </row>
    <row r="12">
      <c r="A12" s="4" t="inlineStr">
        <is>
          <t>RevMUNC – GW</t>
        </is>
      </c>
      <c r="B12" s="40">
        <f>'Scenario Builder'!B11</f>
        <v/>
      </c>
      <c r="C12" s="40">
        <f>IF('Scenario Builder'!B11=1,'Scenario Builder'!C11,"—")</f>
        <v/>
      </c>
      <c r="D12" s="20">
        <f>'Scenario Builder'!E11</f>
        <v/>
      </c>
      <c r="E12" s="20">
        <f>IF('Scenario Builder'!B11=1,'Scenario Builder'!D11/'Scenario Builder'!C11,"—")</f>
        <v/>
      </c>
      <c r="F12" s="20">
        <f>IF('Scenario Builder'!B11=1,'Scenario Builder'!F11*'Scenario Builder'!C11-'Scenario Builder'!D11,"—")</f>
        <v/>
      </c>
    </row>
    <row r="13">
      <c r="A13" s="4" t="inlineStr">
        <is>
          <t>ConMUN – Concordia  [16 or 20]</t>
        </is>
      </c>
      <c r="B13" s="40">
        <f>'Scenario Builder'!B12</f>
        <v/>
      </c>
      <c r="C13" s="40">
        <f>IF('Scenario Builder'!B12=1,'Scenario Builder'!C12,"—")</f>
        <v/>
      </c>
      <c r="D13" s="20">
        <f>'Scenario Builder'!E12</f>
        <v/>
      </c>
      <c r="E13" s="20">
        <f>IF('Scenario Builder'!B12=1,'Scenario Builder'!D12/'Scenario Builder'!C12,"—")</f>
        <v/>
      </c>
      <c r="F13" s="20">
        <f>IF('Scenario Builder'!B12=1,'Scenario Builder'!F12*'Scenario Builder'!C12-'Scenario Builder'!D12,"—")</f>
        <v/>
      </c>
    </row>
    <row r="14">
      <c r="A14" s="4" t="inlineStr">
        <is>
          <t>ChoMUN – UChicago</t>
        </is>
      </c>
      <c r="B14" s="40">
        <f>'Scenario Builder'!B13</f>
        <v/>
      </c>
      <c r="C14" s="40">
        <f>IF('Scenario Builder'!B13=1,'Scenario Builder'!C13,"—")</f>
        <v/>
      </c>
      <c r="D14" s="20">
        <f>'Scenario Builder'!E13</f>
        <v/>
      </c>
      <c r="E14" s="20">
        <f>IF('Scenario Builder'!B13=1,'Scenario Builder'!D13/'Scenario Builder'!C13,"—")</f>
        <v/>
      </c>
      <c r="F14" s="20">
        <f>IF('Scenario Builder'!B13=1,'Scenario Builder'!F13*'Scenario Builder'!C13-'Scenario Builder'!D13,"—")</f>
        <v/>
      </c>
    </row>
    <row r="15">
      <c r="A15" s="4" t="inlineStr">
        <is>
          <t>VICS – UVA</t>
        </is>
      </c>
      <c r="B15" s="40">
        <f>'Scenario Builder'!B14</f>
        <v/>
      </c>
      <c r="C15" s="40">
        <f>IF('Scenario Builder'!B14=1,'Scenario Builder'!C14,"—")</f>
        <v/>
      </c>
      <c r="D15" s="20">
        <f>'Scenario Builder'!E14</f>
        <v/>
      </c>
      <c r="E15" s="20">
        <f>IF('Scenario Builder'!B14=1,'Scenario Builder'!D14/'Scenario Builder'!C14,"—")</f>
        <v/>
      </c>
      <c r="F15" s="20">
        <f>IF('Scenario Builder'!B14=1,'Scenario Builder'!F14*'Scenario Builder'!C14-'Scenario Builder'!D14,"—")</f>
        <v/>
      </c>
    </row>
    <row r="16">
      <c r="A16" s="25" t="inlineStr">
        <is>
          <t>TOTAL (current slate, incl subscriptions)</t>
        </is>
      </c>
      <c r="B16" s="25" t="n"/>
      <c r="C16" s="25">
        <f>'Scenario Builder'!$B$17</f>
        <v/>
      </c>
      <c r="D16" s="26">
        <f>'Scenario Builder'!$E$17</f>
        <v/>
      </c>
      <c r="E16" s="26">
        <f>IF('Scenario Builder'!$B$17=0,"",'Scenario Builder'!$E$17/'Scenario Builder'!$B$17)</f>
        <v/>
      </c>
      <c r="F16" s="26">
        <f>'Scenario Builder'!E28-'Scenario Builder'!$E$17</f>
        <v/>
      </c>
    </row>
    <row r="18">
      <c r="A18" s="8" t="inlineStr">
        <is>
          <t>REVENUE vs COST AT A FLAT FEE  (live — whole current slate)</t>
        </is>
      </c>
      <c r="B18" s="8" t="n"/>
      <c r="C18" s="8" t="n"/>
      <c r="D18" s="8" t="n"/>
      <c r="E18" s="8" t="n"/>
    </row>
    <row r="19">
      <c r="A19" s="36" t="inlineStr">
        <is>
          <t>Flat fee / delegate</t>
        </is>
      </c>
      <c r="B19" s="36" t="inlineStr">
        <is>
          <t>Total revenue</t>
        </is>
      </c>
      <c r="C19" s="36" t="inlineStr">
        <is>
          <t>Slate cost</t>
        </is>
      </c>
      <c r="D19" s="36" t="inlineStr">
        <is>
          <t>Surplus / (shortfall)</t>
        </is>
      </c>
      <c r="E19" s="36" t="inlineStr">
        <is>
          <t>% of cost covered</t>
        </is>
      </c>
    </row>
    <row r="20">
      <c r="A20" s="45" t="inlineStr">
        <is>
          <t>$100</t>
        </is>
      </c>
      <c r="B20" s="20">
        <f>100*'Scenario Builder'!$B$17</f>
        <v/>
      </c>
      <c r="C20" s="20">
        <f>'Scenario Builder'!$E$17</f>
        <v/>
      </c>
      <c r="D20" s="20">
        <f>100*'Scenario Builder'!$B$17-'Scenario Builder'!$E$17</f>
        <v/>
      </c>
      <c r="E20" s="53">
        <f>IF('Scenario Builder'!$E$17=0,"",100*'Scenario Builder'!$B$17/'Scenario Builder'!$E$17)</f>
        <v/>
      </c>
    </row>
    <row r="21">
      <c r="A21" s="45" t="inlineStr">
        <is>
          <t>$200</t>
        </is>
      </c>
      <c r="B21" s="20">
        <f>200*'Scenario Builder'!$B$17</f>
        <v/>
      </c>
      <c r="C21" s="20">
        <f>'Scenario Builder'!$E$17</f>
        <v/>
      </c>
      <c r="D21" s="20">
        <f>200*'Scenario Builder'!$B$17-'Scenario Builder'!$E$17</f>
        <v/>
      </c>
      <c r="E21" s="53">
        <f>IF('Scenario Builder'!$E$17=0,"",200*'Scenario Builder'!$B$17/'Scenario Builder'!$E$17)</f>
        <v/>
      </c>
    </row>
    <row r="22">
      <c r="A22" s="45" t="inlineStr">
        <is>
          <t>$250</t>
        </is>
      </c>
      <c r="B22" s="20">
        <f>250*'Scenario Builder'!$B$17</f>
        <v/>
      </c>
      <c r="C22" s="20">
        <f>'Scenario Builder'!$E$17</f>
        <v/>
      </c>
      <c r="D22" s="20">
        <f>250*'Scenario Builder'!$B$17-'Scenario Builder'!$E$17</f>
        <v/>
      </c>
      <c r="E22" s="53">
        <f>IF('Scenario Builder'!$E$17=0,"",250*'Scenario Builder'!$B$17/'Scenario Builder'!$E$17)</f>
        <v/>
      </c>
    </row>
    <row r="23">
      <c r="A23" s="45" t="inlineStr">
        <is>
          <t>$300</t>
        </is>
      </c>
      <c r="B23" s="20">
        <f>300*'Scenario Builder'!$B$17</f>
        <v/>
      </c>
      <c r="C23" s="20">
        <f>'Scenario Builder'!$E$17</f>
        <v/>
      </c>
      <c r="D23" s="20">
        <f>300*'Scenario Builder'!$B$17-'Scenario Builder'!$E$17</f>
        <v/>
      </c>
      <c r="E23" s="53">
        <f>IF('Scenario Builder'!$E$17=0,"",300*'Scenario Builder'!$B$17/'Scenario Builder'!$E$17)</f>
        <v/>
      </c>
    </row>
    <row r="24">
      <c r="A24" s="45" t="inlineStr">
        <is>
          <t>$350</t>
        </is>
      </c>
      <c r="B24" s="20">
        <f>350*'Scenario Builder'!$B$17</f>
        <v/>
      </c>
      <c r="C24" s="20">
        <f>'Scenario Builder'!$E$17</f>
        <v/>
      </c>
      <c r="D24" s="20">
        <f>350*'Scenario Builder'!$B$17-'Scenario Builder'!$E$17</f>
        <v/>
      </c>
      <c r="E24" s="53">
        <f>IF('Scenario Builder'!$E$17=0,"",350*'Scenario Builder'!$B$17/'Scenario Builder'!$E$17)</f>
        <v/>
      </c>
    </row>
    <row r="25">
      <c r="A25" s="45" t="inlineStr">
        <is>
          <t>$400</t>
        </is>
      </c>
      <c r="B25" s="20">
        <f>400*'Scenario Builder'!$B$17</f>
        <v/>
      </c>
      <c r="C25" s="20">
        <f>'Scenario Builder'!$E$17</f>
        <v/>
      </c>
      <c r="D25" s="20">
        <f>400*'Scenario Builder'!$B$17-'Scenario Builder'!$E$17</f>
        <v/>
      </c>
      <c r="E25" s="53">
        <f>IF('Scenario Builder'!$E$17=0,"",400*'Scenario Builder'!$B$17/'Scenario Builder'!$E$17)</f>
        <v/>
      </c>
    </row>
    <row r="27">
      <c r="A27" s="54" t="inlineStr">
        <is>
          <t>Slate break-even fee (excl operating) →</t>
        </is>
      </c>
      <c r="D27" s="55">
        <f>IF('Scenario Builder'!$B$17=0,"",'Scenario Builder'!$E$17/'Scenario Builder'!$B$17)</f>
        <v/>
      </c>
    </row>
    <row r="28" ht="42" customHeight="1">
      <c r="A28" s="49" t="inlineStr">
        <is>
          <t>This tab covers the conference slate only. The full-program break-even (after operating costs, the AMS grant, dues and fundraising) is the Break-even cell on the Scenario Builder. The cheap-headcount Montreal confs throw off surplus that offsets the expensive flying/long-drive ones.</t>
        </is>
      </c>
    </row>
  </sheetData>
  <mergeCells count="4">
    <mergeCell ref="A3:F3"/>
    <mergeCell ref="A2:F2"/>
    <mergeCell ref="A1:F1"/>
    <mergeCell ref="A28:F28"/>
  </mergeCells>
  <conditionalFormatting sqref="A6:F15">
    <cfRule type="expression" priority="1" dxfId="1">
      <formula>$B6=0</formula>
    </cfRule>
  </conditionalFormatting>
  <conditionalFormatting sqref="F6:F15">
    <cfRule type="expression" priority="2" dxfId="0">
      <formula>AND($B6=1,F6&gt;=0)</formula>
    </cfRule>
    <cfRule type="expression" priority="3" dxfId="2">
      <formula>AND($B6=1,F6&lt;0)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6" customWidth="1" min="1" max="1"/>
    <col width="42" customWidth="1" min="2" max="2"/>
    <col width="14" customWidth="1" min="3" max="3"/>
  </cols>
  <sheetData>
    <row r="1" ht="22" customHeight="1">
      <c r="A1" s="35" t="inlineStr">
        <is>
          <t>OPERATING BUDGET 2026-27 – non-conference, full year  ·  club size ~60-100</t>
        </is>
      </c>
    </row>
    <row r="2" ht="40" customHeight="1">
      <c r="A2" s="17" t="inlineStr">
        <is>
          <t>EDITABLE control panel: change any yellow Cost cell and the Subtotal, Contingency and Operating Total recalculate — and that total flows into the Scenario Builder's ALL-IN, the gap, and the Cash Flow. CAD. The conference program lives on the other tabs.</t>
        </is>
      </c>
    </row>
    <row r="3">
      <c r="A3" t="inlineStr"/>
      <c r="B3" t="inlineStr"/>
      <c r="C3" t="inlineStr"/>
    </row>
    <row r="4">
      <c r="A4" s="36" t="inlineStr">
        <is>
          <t>Category / Line item</t>
        </is>
      </c>
      <c r="B4" s="36" t="inlineStr">
        <is>
          <t>Basis</t>
        </is>
      </c>
      <c r="C4" s="36" t="inlineStr">
        <is>
          <t>Cost (CAD)</t>
        </is>
      </c>
    </row>
    <row r="5">
      <c r="A5" s="8" t="inlineStr">
        <is>
          <t>SOCIALS &amp; FORMAL  (trimmed 40%)</t>
        </is>
      </c>
      <c r="B5" s="8" t="n"/>
      <c r="C5" s="8" t="n"/>
    </row>
    <row r="6">
      <c r="A6" t="inlineStr">
        <is>
          <t xml:space="preserve">   Welcome / clubs-fair recruitment social</t>
        </is>
      </c>
      <c r="B6" t="inlineStr">
        <is>
          <t>~80 ppl · venue + light food</t>
        </is>
      </c>
      <c r="C6" s="21" t="n">
        <v>240</v>
      </c>
    </row>
    <row r="7">
      <c r="A7" t="inlineStr">
        <is>
          <t xml:space="preserve">   Fall bonding mixer</t>
        </is>
      </c>
      <c r="B7" t="inlineStr">
        <is>
          <t>team social night</t>
        </is>
      </c>
      <c r="C7" s="21" t="n">
        <v>150</v>
      </c>
    </row>
    <row r="8">
      <c r="A8" t="inlineStr">
        <is>
          <t xml:space="preserve">   Winter mixer</t>
        </is>
      </c>
      <c r="B8" t="inlineStr">
        <is>
          <t>team social night</t>
        </is>
      </c>
      <c r="C8" s="21" t="n">
        <v>150</v>
      </c>
    </row>
    <row r="9">
      <c r="A9" t="inlineStr">
        <is>
          <t xml:space="preserve">   Year-end formal / awards banquet</t>
        </is>
      </c>
      <c r="B9" t="inlineStr">
        <is>
          <t>~80 guests · leaner venue/catering (no ticket charge)</t>
        </is>
      </c>
      <c r="C9" s="21" t="n">
        <v>2640</v>
      </c>
    </row>
    <row r="10">
      <c r="A10" t="inlineStr">
        <is>
          <t xml:space="preserve">   Exec appreciation / transition dinner</t>
        </is>
      </c>
      <c r="B10" t="inlineStr">
        <is>
          <t>~12 execs</t>
        </is>
      </c>
      <c r="C10" s="21" t="n">
        <v>180</v>
      </c>
    </row>
    <row r="11">
      <c r="A11" s="8" t="inlineStr">
        <is>
          <t>MERCH &amp; MARKETING</t>
        </is>
      </c>
      <c r="B11" s="8" t="n"/>
      <c r="C11" s="8" t="n"/>
    </row>
    <row r="12">
      <c r="A12" t="inlineStr">
        <is>
          <t xml:space="preserve">   Branded banner + tablecloth</t>
        </is>
      </c>
      <c r="B12" t="inlineStr">
        <is>
          <t>one-time, reusable</t>
        </is>
      </c>
      <c r="C12" s="21" t="n">
        <v>300</v>
      </c>
    </row>
    <row r="13">
      <c r="A13" t="inlineStr">
        <is>
          <t xml:space="preserve">   Recruitment promo</t>
        </is>
      </c>
      <c r="B13" t="inlineStr">
        <is>
          <t>posters, business cards, stickers, clubs fair</t>
        </is>
      </c>
      <c r="C13" s="21" t="n">
        <v>200</v>
      </c>
    </row>
    <row r="14">
      <c r="A14" t="inlineStr">
        <is>
          <t xml:space="preserve">   Website domain + hosting</t>
        </is>
      </c>
      <c r="B14" t="inlineStr">
        <is>
          <t>annual</t>
        </is>
      </c>
      <c r="C14" s="21" t="n">
        <v>100</v>
      </c>
    </row>
    <row r="15">
      <c r="A15" t="inlineStr">
        <is>
          <t xml:space="preserve">   Team apparel</t>
        </is>
      </c>
      <c r="B15" t="inlineStr">
        <is>
          <t>bulk order, sold AT COST to members (cash-neutral)</t>
        </is>
      </c>
      <c r="C15" s="21" t="n">
        <v>0</v>
      </c>
    </row>
    <row r="16">
      <c r="A16" s="8" t="inlineStr">
        <is>
          <t>ADMIN &amp; AWARDS</t>
        </is>
      </c>
      <c r="B16" s="8" t="n"/>
      <c r="C16" s="8" t="n"/>
    </row>
    <row r="17">
      <c r="A17" t="inlineStr">
        <is>
          <t xml:space="preserve">   AMS ratification / club registration</t>
        </is>
      </c>
      <c r="B17" t="inlineStr">
        <is>
          <t>annual</t>
        </is>
      </c>
      <c r="C17" s="21" t="n">
        <v>50</v>
      </c>
    </row>
    <row r="18">
      <c r="A18" t="inlineStr">
        <is>
          <t xml:space="preserve">   Payment-processing fees</t>
        </is>
      </c>
      <c r="B18" t="inlineStr">
        <is>
          <t>Square ~2.9% on delegate-fee collection</t>
        </is>
      </c>
      <c r="C18" s="21" t="n">
        <v>150</v>
      </c>
    </row>
    <row r="19">
      <c r="A19" t="inlineStr">
        <is>
          <t xml:space="preserve">   Banquet awards / gavels</t>
        </is>
      </c>
      <c r="B19" t="inlineStr">
        <is>
          <t>superlatives at the year-end formal</t>
        </is>
      </c>
      <c r="C19" s="21" t="n">
        <v>200</v>
      </c>
    </row>
    <row r="20">
      <c r="A20" t="inlineStr">
        <is>
          <t xml:space="preserve">   Misc / office supplies</t>
        </is>
      </c>
      <c r="B20" t="inlineStr"/>
      <c r="C20" s="21" t="n">
        <v>100</v>
      </c>
    </row>
    <row r="21">
      <c r="A21" s="2" t="inlineStr">
        <is>
          <t>Subtotal (net)</t>
        </is>
      </c>
      <c r="B21" s="2" t="n"/>
      <c r="C21" s="29">
        <f>SUM(C6:C20)</f>
        <v/>
      </c>
    </row>
    <row r="22">
      <c r="A22" s="2" t="inlineStr">
        <is>
          <t>Contingency 10% (on net operating)</t>
        </is>
      </c>
      <c r="B22" s="2" t="n"/>
      <c r="C22" s="29">
        <f>C21*0.1</f>
        <v/>
      </c>
    </row>
    <row r="23">
      <c r="A23" s="25" t="inlineStr">
        <is>
          <t>OPERATING TOTAL</t>
        </is>
      </c>
      <c r="B23" s="25" t="n"/>
      <c r="C23" s="26">
        <f>C21+C22</f>
        <v/>
      </c>
    </row>
    <row r="25" ht="42" customHeight="1">
      <c r="A25" s="49" t="inlineStr">
        <is>
          <t>Note: team apparel is bulk-bought and resold to members at cost, so it nets ~$0 cash. The year-end formal is the single biggest non-conference line and is fully club-funded (no ticket charge). Even so, operating spend stays small next to the travel program.</t>
        </is>
      </c>
    </row>
  </sheetData>
  <mergeCells count="3">
    <mergeCell ref="A1:C1"/>
    <mergeCell ref="A25:C25"/>
    <mergeCell ref="A2:C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6" customWidth="1" min="4" max="4"/>
    <col width="40" customWidth="1" min="5" max="5"/>
  </cols>
  <sheetData>
    <row r="1" ht="22" customHeight="1">
      <c r="A1" s="44" t="inlineStr">
        <is>
          <t>FUNDRAISING &amp; NET POSITION 2026-27  ·  all-in club cash picture</t>
        </is>
      </c>
    </row>
    <row r="2" ht="28" customHeight="1">
      <c r="A2" s="17" t="inlineStr">
        <is>
          <t>Ties it together: TOTAL CLUB COST (conference program + operating) vs FUNDING (AMS grant + delegate fees + bar nights). Aim is to subsidize, not break even — the gap is what the club funds from treasury. CAD.</t>
        </is>
      </c>
    </row>
    <row r="3">
      <c r="A3" t="inlineStr"/>
      <c r="B3" t="inlineStr"/>
      <c r="C3" t="inlineStr"/>
      <c r="D3" t="inlineStr"/>
      <c r="E3" t="inlineStr"/>
    </row>
    <row r="4">
      <c r="A4" s="8" t="inlineStr">
        <is>
          <t>A · BAR / PERCENTAGE NIGHTS  (the modelled fundraiser)</t>
        </is>
      </c>
    </row>
    <row r="5">
      <c r="A5" s="36" t="inlineStr">
        <is>
          <t>Scenario</t>
        </is>
      </c>
      <c r="B5" s="36" t="inlineStr">
        <is>
          <t>Net / night</t>
        </is>
      </c>
      <c r="C5" s="36" t="inlineStr">
        <is>
          <t># nights</t>
        </is>
      </c>
      <c r="D5" s="36" t="inlineStr">
        <is>
          <t>Season total</t>
        </is>
      </c>
      <c r="E5" s="36" t="inlineStr">
        <is>
          <t>How it gets there</t>
        </is>
      </c>
    </row>
    <row r="6">
      <c r="A6" t="inlineStr">
        <is>
          <t>Conservative</t>
        </is>
      </c>
      <c r="B6" t="inlineStr">
        <is>
          <t>$300</t>
        </is>
      </c>
      <c r="C6" t="inlineStr">
        <is>
          <t>3</t>
        </is>
      </c>
      <c r="D6" t="inlineStr">
        <is>
          <t>$900</t>
        </is>
      </c>
      <c r="E6" t="inlineStr">
        <is>
          <t>percentage night, ~15% of a light turnout</t>
        </is>
      </c>
    </row>
    <row r="7">
      <c r="A7" t="inlineStr">
        <is>
          <t>Expected (used below)</t>
        </is>
      </c>
      <c r="B7" t="inlineStr">
        <is>
          <t>$500</t>
        </is>
      </c>
      <c r="C7" t="inlineStr">
        <is>
          <t>3</t>
        </is>
      </c>
      <c r="D7" t="inlineStr">
        <is>
          <t>$1,500</t>
        </is>
      </c>
      <c r="E7" t="inlineStr">
        <is>
          <t>mix of % night + small cover; ~60-80 out</t>
        </is>
      </c>
    </row>
    <row r="8">
      <c r="A8" t="inlineStr">
        <is>
          <t>Optimistic</t>
        </is>
      </c>
      <c r="B8" t="inlineStr">
        <is>
          <t>$800</t>
        </is>
      </c>
      <c r="C8" t="inlineStr">
        <is>
          <t>3</t>
        </is>
      </c>
      <c r="D8" t="inlineStr">
        <is>
          <t>$2,400</t>
        </is>
      </c>
      <c r="E8" t="inlineStr">
        <is>
          <t>ticketed social, venue deal, strong turnout</t>
        </is>
      </c>
    </row>
    <row r="9">
      <c r="A9" t="inlineStr"/>
      <c r="B9" t="inlineStr"/>
      <c r="C9" t="inlineStr"/>
      <c r="D9" t="inlineStr"/>
      <c r="E9" t="inlineStr"/>
    </row>
    <row r="10">
      <c r="A10" t="inlineStr">
        <is>
          <t>Team dinner (20% of spend)</t>
        </is>
      </c>
      <c r="B10" t="inlineStr">
        <is>
          <t>$180</t>
        </is>
      </c>
      <c r="C10" t="inlineStr">
        <is>
          <t>1</t>
        </is>
      </c>
      <c r="D10" t="inlineStr">
        <is>
          <t>$180</t>
        </is>
      </c>
      <c r="E10" t="inlineStr">
        <is>
          <t>30 guests x ~$30/head x 20% back; range $150-240</t>
        </is>
      </c>
    </row>
    <row r="11">
      <c r="A11" t="inlineStr"/>
      <c r="B11" t="inlineStr"/>
      <c r="C11" t="inlineStr"/>
      <c r="D11" t="inlineStr"/>
      <c r="E11" t="inlineStr"/>
    </row>
    <row r="12">
      <c r="A12" s="8" t="inlineStr">
        <is>
          <t>B · ALL-IN NET POSITION  (LIVE — driven by the Scenario Builder tab)</t>
        </is>
      </c>
    </row>
    <row r="13">
      <c r="A13" t="inlineStr">
        <is>
          <t>Conference program (selected slate)</t>
        </is>
      </c>
      <c r="B13" t="inlineStr"/>
      <c r="C13" s="29">
        <f>'Scenario Builder'!E17</f>
        <v/>
      </c>
      <c r="D13" t="inlineStr"/>
      <c r="E13" t="inlineStr">
        <is>
          <t>live — toggle confs on Scenario Builder</t>
        </is>
      </c>
    </row>
    <row r="14">
      <c r="A14" t="inlineStr">
        <is>
          <t>Operating budget (socials/training/merch/admin)</t>
        </is>
      </c>
      <c r="B14" t="inlineStr"/>
      <c r="C14" s="29">
        <f>'Scenario Builder'!E18</f>
        <v/>
      </c>
      <c r="D14" t="inlineStr"/>
      <c r="E14" t="inlineStr">
        <is>
          <t>fixed — Operating Budget tab</t>
        </is>
      </c>
    </row>
    <row r="15">
      <c r="A15" s="25" t="inlineStr">
        <is>
          <t>TOTAL CLUB COST</t>
        </is>
      </c>
      <c r="B15" s="25" t="inlineStr"/>
      <c r="C15" s="26">
        <f>'Scenario Builder'!E19</f>
        <v/>
      </c>
      <c r="D15" s="25" t="inlineStr"/>
      <c r="E15" s="25" t="inlineStr">
        <is>
          <t>what the year costs, all-in</t>
        </is>
      </c>
    </row>
    <row r="16">
      <c r="A16" s="28" t="inlineStr">
        <is>
          <t>AMS / society grant  (set on Scenario Builder)</t>
        </is>
      </c>
      <c r="B16" s="28" t="inlineStr"/>
      <c r="C16" s="56">
        <f>'Scenario Builder'!E22</f>
        <v/>
      </c>
      <c r="D16" s="28" t="inlineStr"/>
      <c r="E16" s="28" t="inlineStr">
        <is>
          <t>edit on Scenario Builder funding inputs</t>
        </is>
      </c>
    </row>
    <row r="17">
      <c r="A17" t="inlineStr">
        <is>
          <t>Club joining fee  ($10 x members)</t>
        </is>
      </c>
      <c r="B17" t="inlineStr"/>
      <c r="C17" s="29">
        <f>'Scenario Builder'!E23</f>
        <v/>
      </c>
      <c r="D17" t="inlineStr"/>
      <c r="E17" t="inlineStr">
        <is>
          <t>one-time membership dues, separate from delegate fees</t>
        </is>
      </c>
    </row>
    <row r="18">
      <c r="A18" t="inlineStr">
        <is>
          <t>Bar/percentage nights (season)</t>
        </is>
      </c>
      <c r="B18" t="inlineStr"/>
      <c r="C18" s="29">
        <f>'Scenario Builder'!E24</f>
        <v/>
      </c>
      <c r="D18" t="inlineStr"/>
      <c r="E18" t="inlineStr">
        <is>
          <t>from section A / Scenario Builder</t>
        </is>
      </c>
    </row>
    <row r="19">
      <c r="A19" t="inlineStr">
        <is>
          <t>Team dinner fundraiser (20% night)</t>
        </is>
      </c>
      <c r="B19" t="inlineStr"/>
      <c r="C19" s="29">
        <f>'Scenario Builder'!E25</f>
        <v/>
      </c>
      <c r="D19" t="inlineStr"/>
      <c r="E19" t="inlineStr">
        <is>
          <t>from section A / Scenario Builder</t>
        </is>
      </c>
    </row>
    <row r="20">
      <c r="A20" t="inlineStr"/>
      <c r="B20" t="inlineStr"/>
      <c r="C20" t="inlineStr"/>
      <c r="D20" t="inlineStr"/>
      <c r="E20" t="inlineStr"/>
    </row>
    <row r="21">
      <c r="A21" s="36" t="inlineStr">
        <is>
          <t>Delegate fee</t>
        </is>
      </c>
      <c r="B21" s="36" t="inlineStr">
        <is>
          <t>Fee revenue (live trips)</t>
        </is>
      </c>
      <c r="C21" s="36" t="inlineStr">
        <is>
          <t>+ grant/dues/bar/dinner</t>
        </is>
      </c>
      <c r="D21" s="36" t="inlineStr">
        <is>
          <t>Funding total</t>
        </is>
      </c>
      <c r="E21" s="36" t="inlineStr">
        <is>
          <t>Club funds (gap)</t>
        </is>
      </c>
    </row>
    <row r="22">
      <c r="A22" s="4" t="inlineStr">
        <is>
          <t>$100/delegate</t>
        </is>
      </c>
      <c r="B22" s="20">
        <f>100*'Scenario Builder'!B17</f>
        <v/>
      </c>
      <c r="C22" s="20">
        <f>'Scenario Builder'!E26</f>
        <v/>
      </c>
      <c r="D22" s="20">
        <f>100*'Scenario Builder'!B17+'Scenario Builder'!E26</f>
        <v/>
      </c>
      <c r="E22" s="33">
        <f>'Scenario Builder'!E19-(100*'Scenario Builder'!B17+'Scenario Builder'!E26)</f>
        <v/>
      </c>
    </row>
    <row r="23">
      <c r="A23" s="4" t="inlineStr">
        <is>
          <t>$200/delegate</t>
        </is>
      </c>
      <c r="B23" s="20">
        <f>200*'Scenario Builder'!B17</f>
        <v/>
      </c>
      <c r="C23" s="20">
        <f>'Scenario Builder'!E26</f>
        <v/>
      </c>
      <c r="D23" s="20">
        <f>200*'Scenario Builder'!B17+'Scenario Builder'!E26</f>
        <v/>
      </c>
      <c r="E23" s="33">
        <f>'Scenario Builder'!E19-(200*'Scenario Builder'!B17+'Scenario Builder'!E26)</f>
        <v/>
      </c>
    </row>
    <row r="24">
      <c r="A24" s="4" t="inlineStr">
        <is>
          <t>$250/delegate</t>
        </is>
      </c>
      <c r="B24" s="20">
        <f>250*'Scenario Builder'!B17</f>
        <v/>
      </c>
      <c r="C24" s="20">
        <f>'Scenario Builder'!E26</f>
        <v/>
      </c>
      <c r="D24" s="20">
        <f>250*'Scenario Builder'!B17+'Scenario Builder'!E26</f>
        <v/>
      </c>
      <c r="E24" s="33">
        <f>'Scenario Builder'!E19-(250*'Scenario Builder'!B17+'Scenario Builder'!E26)</f>
        <v/>
      </c>
    </row>
    <row r="25">
      <c r="A25" s="4" t="inlineStr">
        <is>
          <t>$300/delegate</t>
        </is>
      </c>
      <c r="B25" s="20">
        <f>300*'Scenario Builder'!B17</f>
        <v/>
      </c>
      <c r="C25" s="20">
        <f>'Scenario Builder'!E26</f>
        <v/>
      </c>
      <c r="D25" s="20">
        <f>300*'Scenario Builder'!B17+'Scenario Builder'!E26</f>
        <v/>
      </c>
      <c r="E25" s="33">
        <f>'Scenario Builder'!E19-(300*'Scenario Builder'!B17+'Scenario Builder'!E26)</f>
        <v/>
      </c>
    </row>
    <row r="26">
      <c r="A26" s="4" t="inlineStr">
        <is>
          <t>$350/delegate</t>
        </is>
      </c>
      <c r="B26" s="20">
        <f>350*'Scenario Builder'!B17</f>
        <v/>
      </c>
      <c r="C26" s="20">
        <f>'Scenario Builder'!E26</f>
        <v/>
      </c>
      <c r="D26" s="20">
        <f>350*'Scenario Builder'!B17+'Scenario Builder'!E26</f>
        <v/>
      </c>
      <c r="E26" s="33">
        <f>'Scenario Builder'!E19-(350*'Scenario Builder'!B17+'Scenario Builder'!E26)</f>
        <v/>
      </c>
    </row>
    <row r="27">
      <c r="A27" s="4" t="inlineStr">
        <is>
          <t>$400/delegate</t>
        </is>
      </c>
      <c r="B27" s="20">
        <f>400*'Scenario Builder'!B17</f>
        <v/>
      </c>
      <c r="C27" s="20">
        <f>'Scenario Builder'!E26</f>
        <v/>
      </c>
      <c r="D27" s="20">
        <f>400*'Scenario Builder'!B17+'Scenario Builder'!E26</f>
        <v/>
      </c>
      <c r="E27" s="33">
        <f>'Scenario Builder'!E19-(400*'Scenario Builder'!B17+'Scenario Builder'!E26)</f>
        <v/>
      </c>
    </row>
    <row r="28">
      <c r="A28" t="inlineStr"/>
      <c r="B28" t="inlineStr"/>
      <c r="C28" t="inlineStr"/>
      <c r="D28" t="inlineStr"/>
      <c r="E28" t="inlineStr"/>
    </row>
    <row r="29" ht="56" customHeight="1">
      <c r="A29" s="57" t="inlineStr">
        <is>
          <t>BOTTOM LINE: every number in section B is LIVE from the Scenario Builder — toggle conferences, delegate counts, each conference's per-delegate fee, or any funding input there and this table recalculates. Travel is the cost driver; operating is fixed. Raising one conference's fee by $50 moves the gap by $50 x that conference's delegates. The remaining gap is the planned subsidy, not a shortfall to fix.</t>
        </is>
      </c>
    </row>
  </sheetData>
  <mergeCells count="5">
    <mergeCell ref="A12:E12"/>
    <mergeCell ref="A4:E4"/>
    <mergeCell ref="A29:E29"/>
    <mergeCell ref="A2:E2"/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0" customWidth="1" min="3" max="3"/>
    <col width="14" customWidth="1" min="4" max="4"/>
    <col width="46" customWidth="1" min="5" max="5"/>
  </cols>
  <sheetData>
    <row r="1" ht="22" customHeight="1">
      <c r="A1" s="35" t="inlineStr">
        <is>
          <t>REGISTRATION WINDOWS &amp; DEADLINES – Selected Slate (7 confs)  ·  sourced June 2026</t>
        </is>
      </c>
    </row>
    <row r="2" ht="28" customHeight="1">
      <c r="A2" s="17" t="inlineStr">
        <is>
          <t>Budget uses each conference's REGULAR-window fee (conservative). Earlier windows save where shown. 2027 portals partly unposted — verify any row marked TBD/est before relying on a date.</t>
        </is>
      </c>
    </row>
    <row r="3">
      <c r="A3" t="inlineStr"/>
      <c r="B3" t="inlineStr"/>
      <c r="C3" t="inlineStr"/>
      <c r="D3" t="inlineStr"/>
      <c r="E3" t="inlineStr"/>
    </row>
    <row r="4">
      <c r="A4" s="36" t="inlineStr">
        <is>
          <t>Conference</t>
        </is>
      </c>
      <c r="B4" s="36" t="inlineStr">
        <is>
          <t>Window / milestone</t>
        </is>
      </c>
      <c r="C4" s="36" t="inlineStr">
        <is>
          <t>Closes</t>
        </is>
      </c>
      <c r="D4" s="36" t="inlineStr">
        <is>
          <t>Per-del fee</t>
        </is>
      </c>
      <c r="E4" s="36" t="inlineStr">
        <is>
          <t>Status / note</t>
        </is>
      </c>
    </row>
    <row r="5">
      <c r="A5" s="8" t="inlineStr">
        <is>
          <t>NCSC – Georgetown</t>
        </is>
      </c>
    </row>
    <row r="6">
      <c r="A6" s="4" t="inlineStr"/>
      <c r="B6" s="4" t="inlineStr">
        <is>
          <t>Priority</t>
        </is>
      </c>
      <c r="C6" s="45" t="inlineStr">
        <is>
          <t>Apr 26, 2026 (CLOSED)</t>
        </is>
      </c>
      <c r="D6" s="4" t="inlineStr">
        <is>
          <t>lower</t>
        </is>
      </c>
      <c r="E6" s="5" t="inlineStr">
        <is>
          <t>missed — priority wave already shut</t>
        </is>
      </c>
    </row>
    <row r="7">
      <c r="A7" s="4" t="inlineStr"/>
      <c r="B7" s="6" t="inlineStr">
        <is>
          <t>Regular  (budgeted)</t>
        </is>
      </c>
      <c r="C7" s="48" t="inlineStr">
        <is>
          <t>Aug 23, 2026</t>
        </is>
      </c>
      <c r="D7" s="6" t="inlineStr">
        <is>
          <t>$110 USD</t>
        </is>
      </c>
      <c r="E7" s="7" t="inlineStr">
        <is>
          <t>current open window = the budget rate</t>
        </is>
      </c>
    </row>
    <row r="8">
      <c r="A8" s="4" t="inlineStr"/>
      <c r="B8" s="4" t="inlineStr">
        <is>
          <t>Final delegate payment</t>
        </is>
      </c>
      <c r="C8" s="45" t="inlineStr">
        <is>
          <t>Oct 7, 2026</t>
        </is>
      </c>
      <c r="D8" s="4" t="inlineStr">
        <is>
          <t>—</t>
        </is>
      </c>
      <c r="E8" s="5" t="inlineStr">
        <is>
          <t>hard balance deadline, all 8 delegates</t>
        </is>
      </c>
    </row>
    <row r="9">
      <c r="A9" s="8" t="inlineStr">
        <is>
          <t>CIAC – Cornell</t>
        </is>
      </c>
    </row>
    <row r="10">
      <c r="A10" s="4" t="inlineStr"/>
      <c r="B10" s="4" t="inlineStr">
        <is>
          <t>Early</t>
        </is>
      </c>
      <c r="C10" s="45" t="inlineStr">
        <is>
          <t>Jul 31, 2026</t>
        </is>
      </c>
      <c r="D10" s="4" t="inlineStr">
        <is>
          <t>$80 USD</t>
        </is>
      </c>
      <c r="E10" s="5" t="inlineStr">
        <is>
          <t>list rate; saves $10/del vs $90 — delegates 11+ free</t>
        </is>
      </c>
    </row>
    <row r="11">
      <c r="A11" s="4" t="inlineStr"/>
      <c r="B11" s="6" t="inlineStr">
        <is>
          <t>Regular  (budgeted)</t>
        </is>
      </c>
      <c r="C11" s="48" t="inlineStr">
        <is>
          <t>after Jul 31, 2026</t>
        </is>
      </c>
      <c r="D11" s="6" t="inlineStr">
        <is>
          <t>$90 → $45 USD</t>
        </is>
      </c>
      <c r="E11" s="7" t="inlineStr">
        <is>
          <t>50% returning-delegation discount (CONFIRMED) halves all reg — baked into the budget</t>
        </is>
      </c>
    </row>
    <row r="12">
      <c r="A12" s="4" t="inlineStr"/>
      <c r="B12" s="4" t="inlineStr">
        <is>
          <t>Late / balance due</t>
        </is>
      </c>
      <c r="C12" s="45" t="inlineStr">
        <is>
          <t>Oct 9, 2026</t>
        </is>
      </c>
      <c r="D12" s="4" t="inlineStr">
        <is>
          <t>$90 USD</t>
        </is>
      </c>
      <c r="E12" s="5" t="inlineStr">
        <is>
          <t>list price; billable delegates only (pre-discount)</t>
        </is>
      </c>
    </row>
    <row r="13">
      <c r="A13" s="8" t="inlineStr">
        <is>
          <t>RevMUNC – GW   (NEW, founded 2026)</t>
        </is>
      </c>
    </row>
    <row r="14">
      <c r="A14" s="4" t="inlineStr"/>
      <c r="B14" s="4" t="inlineStr">
        <is>
          <t>Early</t>
        </is>
      </c>
      <c r="C14" s="45" t="inlineStr">
        <is>
          <t>Aug 10 – Sep 2, 2026</t>
        </is>
      </c>
      <c r="D14" s="4" t="inlineStr">
        <is>
          <t>$60 USD</t>
        </is>
      </c>
      <c r="E14" s="5" t="inlineStr">
        <is>
          <t>saves $10/del vs budget; interest form = 10% off delegation</t>
        </is>
      </c>
    </row>
    <row r="15">
      <c r="A15" s="4" t="inlineStr"/>
      <c r="B15" s="6" t="inlineStr">
        <is>
          <t>Regular  (budgeted)</t>
        </is>
      </c>
      <c r="C15" s="48" t="inlineStr">
        <is>
          <t>Sep 3 – Nov 30, 2026</t>
        </is>
      </c>
      <c r="D15" s="6" t="inlineStr">
        <is>
          <t>$70 USD</t>
        </is>
      </c>
      <c r="E15" s="7" t="inlineStr">
        <is>
          <t>budget rate (conservative)</t>
        </is>
      </c>
    </row>
    <row r="16">
      <c r="A16" s="4" t="inlineStr"/>
      <c r="B16" s="4" t="inlineStr">
        <is>
          <t>Late</t>
        </is>
      </c>
      <c r="C16" s="45" t="inlineStr">
        <is>
          <t>Dec 1 – Feb 12, 2027</t>
        </is>
      </c>
      <c r="D16" s="4" t="inlineStr">
        <is>
          <t>$80 USD</t>
        </is>
      </c>
      <c r="E16" s="5" t="inlineStr">
        <is>
          <t>avoid — per-del fee steps up</t>
        </is>
      </c>
    </row>
    <row r="17">
      <c r="A17" s="4" t="inlineStr"/>
      <c r="B17" s="4" t="inlineStr">
        <is>
          <t>Conference</t>
        </is>
      </c>
      <c r="C17" s="45" t="inlineStr">
        <is>
          <t>Feb 18-21, 2027</t>
        </is>
      </c>
      <c r="D17" s="4" t="inlineStr">
        <is>
          <t>—</t>
        </is>
      </c>
      <c r="E17" s="5" t="inlineStr">
        <is>
          <t>DC; falls on reading-week wk2 — verify headcount</t>
        </is>
      </c>
    </row>
    <row r="18">
      <c r="A18" s="8" t="inlineStr">
        <is>
          <t>ChoMUN – UChicago</t>
        </is>
      </c>
    </row>
    <row r="19">
      <c r="A19" s="4" t="inlineStr"/>
      <c r="B19" s="4" t="inlineStr">
        <is>
          <t>Priority</t>
        </is>
      </c>
      <c r="C19" s="45" t="inlineStr">
        <is>
          <t>Sep 6, 2026</t>
        </is>
      </c>
      <c r="D19" s="4" t="inlineStr">
        <is>
          <t>$95 USD</t>
        </is>
      </c>
      <c r="E19" s="5" t="inlineStr">
        <is>
          <t>first-time-school discount; saves $15/del</t>
        </is>
      </c>
    </row>
    <row r="20">
      <c r="A20" s="4" t="inlineStr"/>
      <c r="B20" s="6" t="inlineStr">
        <is>
          <t>Regular  (budgeted)</t>
        </is>
      </c>
      <c r="C20" s="48" t="inlineStr">
        <is>
          <t>Jan 10, 2027</t>
        </is>
      </c>
      <c r="D20" s="6" t="inlineStr">
        <is>
          <t>$110 USD</t>
        </is>
      </c>
      <c r="E20" s="7" t="inlineStr">
        <is>
          <t>budget rate; +5% if paying by credit card</t>
        </is>
      </c>
    </row>
    <row r="21">
      <c r="A21" s="4" t="inlineStr"/>
      <c r="B21" s="4" t="inlineStr">
        <is>
          <t>Late</t>
        </is>
      </c>
      <c r="C21" s="45" t="inlineStr">
        <is>
          <t>after Jan 10, 2027</t>
        </is>
      </c>
      <c r="D21" s="4" t="inlineStr">
        <is>
          <t>higher</t>
        </is>
      </c>
      <c r="E21" s="5" t="inlineStr">
        <is>
          <t>avoid — per-del fee steps up</t>
        </is>
      </c>
    </row>
    <row r="22">
      <c r="A22" s="4" t="inlineStr"/>
      <c r="B22" s="4" t="inlineStr">
        <is>
          <t>Payment deadline</t>
        </is>
      </c>
      <c r="C22" s="45" t="inlineStr">
        <is>
          <t>Mar 5, 2027</t>
        </is>
      </c>
      <c r="D22" s="4" t="inlineStr">
        <is>
          <t>—</t>
        </is>
      </c>
      <c r="E22" s="5" t="inlineStr">
        <is>
          <t>full balance due</t>
        </is>
      </c>
    </row>
    <row r="23">
      <c r="A23" s="8" t="inlineStr">
        <is>
          <t>McMUN – McGill   (2027 TBD)</t>
        </is>
      </c>
    </row>
    <row r="24">
      <c r="A24" s="4" t="inlineStr"/>
      <c r="B24" s="4" t="inlineStr">
        <is>
          <t>Portal opens</t>
        </is>
      </c>
      <c r="C24" s="45" t="inlineStr">
        <is>
          <t>~summer 2026</t>
        </is>
      </c>
      <c r="D24" s="4" t="inlineStr">
        <is>
          <t>—</t>
        </is>
      </c>
      <c r="E24" s="5" t="inlineStr">
        <is>
          <t>watch mcmun.org; 2027 fee table unposted</t>
        </is>
      </c>
    </row>
    <row r="25">
      <c r="A25" s="4" t="inlineStr"/>
      <c r="B25" s="4" t="inlineStr">
        <is>
          <t>Priority wave</t>
        </is>
      </c>
      <c r="C25" s="45" t="inlineStr">
        <is>
          <t>~Sep-Oct 2026 (est)</t>
        </is>
      </c>
      <c r="D25" s="4" t="inlineStr">
        <is>
          <t>cheapest</t>
        </is>
      </c>
      <c r="E25" s="5" t="inlineStr">
        <is>
          <t>register here when it opens</t>
        </is>
      </c>
    </row>
    <row r="26">
      <c r="A26" s="4" t="inlineStr"/>
      <c r="B26" s="6" t="inlineStr">
        <is>
          <t>Regular  (budgeted)</t>
        </is>
      </c>
      <c r="C26" s="48" t="inlineStr">
        <is>
          <t>TBD</t>
        </is>
      </c>
      <c r="D26" s="6" t="inlineStr">
        <is>
          <t>$125 CAD est</t>
        </is>
      </c>
      <c r="E26" s="7" t="inlineStr">
        <is>
          <t>estimate — confirm finance@mcmun.org</t>
        </is>
      </c>
    </row>
    <row r="27">
      <c r="A27" s="4" t="inlineStr"/>
      <c r="B27" s="4" t="inlineStr">
        <is>
          <t>Hotel block cutoff</t>
        </is>
      </c>
      <c r="C27" s="45" t="inlineStr">
        <is>
          <t>~Dec 25, 2026</t>
        </is>
      </c>
      <c r="D27" s="4" t="inlineStr">
        <is>
          <t>—</t>
        </is>
      </c>
      <c r="E27" s="5" t="inlineStr">
        <is>
          <t>Le Centre Sheraton; reconfirm 2027 date</t>
        </is>
      </c>
    </row>
    <row r="28">
      <c r="A28" s="4" t="inlineStr"/>
      <c r="B28" s="4" t="inlineStr">
        <is>
          <t>Final delegate payment</t>
        </is>
      </c>
      <c r="C28" s="45" t="inlineStr">
        <is>
          <t>~late Dec 2026</t>
        </is>
      </c>
      <c r="D28" s="4" t="inlineStr">
        <is>
          <t>—</t>
        </is>
      </c>
      <c r="E28" s="5" t="inlineStr">
        <is>
          <t>paid with Megabus booking</t>
        </is>
      </c>
    </row>
    <row r="29">
      <c r="A29" s="8" t="inlineStr">
        <is>
          <t>ConMUN – Concordia   (2027 TBD)</t>
        </is>
      </c>
    </row>
    <row r="30">
      <c r="A30" s="4" t="inlineStr"/>
      <c r="B30" s="4" t="inlineStr">
        <is>
          <t>Early</t>
        </is>
      </c>
      <c r="C30" s="45" t="inlineStr">
        <is>
          <t>~Sep 2026 (est)</t>
        </is>
      </c>
      <c r="D30" s="4" t="inlineStr">
        <is>
          <t>~$110 CAD</t>
        </is>
      </c>
      <c r="E30" s="5" t="inlineStr">
        <is>
          <t>2027 portal not yet open</t>
        </is>
      </c>
    </row>
    <row r="31">
      <c r="A31" s="4" t="inlineStr"/>
      <c r="B31" s="6" t="inlineStr">
        <is>
          <t>Regular  (budgeted)</t>
        </is>
      </c>
      <c r="C31" s="48" t="inlineStr">
        <is>
          <t>TBD</t>
        </is>
      </c>
      <c r="D31" s="6" t="inlineStr">
        <is>
          <t>$125 CAD</t>
        </is>
      </c>
      <c r="E31" s="7" t="inlineStr">
        <is>
          <t>2026 figures used as placeholder</t>
        </is>
      </c>
    </row>
    <row r="32">
      <c r="A32" s="4" t="inlineStr"/>
      <c r="B32" s="4" t="inlineStr">
        <is>
          <t>Final payment</t>
        </is>
      </c>
      <c r="C32" s="45" t="inlineStr">
        <is>
          <t>~Feb 2027</t>
        </is>
      </c>
      <c r="D32" s="4" t="inlineStr">
        <is>
          <t>—</t>
        </is>
      </c>
      <c r="E32" s="5" t="inlineStr">
        <is>
          <t>paid with Megabus booking</t>
        </is>
      </c>
    </row>
    <row r="33">
      <c r="A33" s="8" t="inlineStr">
        <is>
          <t>VICS – UVA   (VICS 31 windows TBD)</t>
        </is>
      </c>
    </row>
    <row r="34">
      <c r="A34" s="4" t="inlineStr"/>
      <c r="B34" s="4" t="inlineStr">
        <is>
          <t>Early / regular</t>
        </is>
      </c>
      <c r="C34" s="45" t="inlineStr">
        <is>
          <t>TBD</t>
        </is>
      </c>
      <c r="D34" s="4" t="inlineStr">
        <is>
          <t>$105 USD</t>
        </is>
      </c>
      <c r="E34" s="5" t="inlineStr">
        <is>
          <t>windows unposted; $105 used as budget rate</t>
        </is>
      </c>
    </row>
    <row r="35">
      <c r="A35" s="4" t="inlineStr"/>
      <c r="B35" s="4" t="inlineStr">
        <is>
          <t>Refund cutoff</t>
        </is>
      </c>
      <c r="C35" s="45" t="inlineStr">
        <is>
          <t>Jan 19, 2027</t>
        </is>
      </c>
      <c r="D35" s="4" t="inlineStr">
        <is>
          <t>—</t>
        </is>
      </c>
      <c r="E35" s="5" t="inlineStr">
        <is>
          <t>fees owed in full even if you withdraw after</t>
        </is>
      </c>
    </row>
    <row r="36">
      <c r="A36" s="4" t="inlineStr"/>
      <c r="B36" s="4" t="inlineStr">
        <is>
          <t>Late registration closes</t>
        </is>
      </c>
      <c r="C36" s="45" t="inlineStr">
        <is>
          <t>Mar 1, 2027</t>
        </is>
      </c>
      <c r="D36" s="4" t="inlineStr">
        <is>
          <t>—</t>
        </is>
      </c>
      <c r="E36" s="5" t="inlineStr">
        <is>
          <t>verify — VICS 31 dates not yet published</t>
        </is>
      </c>
    </row>
    <row r="37">
      <c r="A37" t="inlineStr"/>
      <c r="B37" t="inlineStr"/>
      <c r="C37" t="inlineStr"/>
      <c r="D37" t="inlineStr"/>
      <c r="E37" t="inlineStr"/>
    </row>
    <row r="38">
      <c r="A38" s="58" t="inlineStr">
        <is>
          <t>EARLY-REGISTRATION SAVINGS (not yet banked in budget)</t>
        </is>
      </c>
      <c r="B38" s="58" t="inlineStr"/>
      <c r="C38" s="58" t="inlineStr"/>
      <c r="D38" s="58" t="inlineStr"/>
      <c r="E38" s="58" t="inlineStr"/>
    </row>
    <row r="39">
      <c r="A39" s="4" t="inlineStr">
        <is>
          <t>CIAC early</t>
        </is>
      </c>
      <c r="B39" s="4" t="inlineStr">
        <is>
          <t>by Jul 31, 2026</t>
        </is>
      </c>
      <c r="C39" s="45" t="inlineStr">
        <is>
          <t>$5/del x 10 billable (post-discount)</t>
        </is>
      </c>
      <c r="D39" s="4">
        <f> $50 USD</f>
        <v/>
      </c>
      <c r="E39" s="5" t="inlineStr">
        <is>
          <t>early shaves the already-50%-discounted reg a bit further</t>
        </is>
      </c>
    </row>
    <row r="40">
      <c r="A40" s="4" t="inlineStr">
        <is>
          <t>ChoMUN priority</t>
        </is>
      </c>
      <c r="B40" s="4" t="inlineStr">
        <is>
          <t>by Sep 6, 2026</t>
        </is>
      </c>
      <c r="C40" s="45" t="inlineStr">
        <is>
          <t>$15/del x 8</t>
        </is>
      </c>
      <c r="D40" s="4">
        <f> $120 USD</f>
        <v/>
      </c>
      <c r="E40" s="5" t="inlineStr">
        <is>
          <t>budget assumes the $110 regular rate</t>
        </is>
      </c>
    </row>
    <row r="41">
      <c r="A41" s="4" t="inlineStr">
        <is>
          <t>RevMUNC early</t>
        </is>
      </c>
      <c r="B41" s="4" t="inlineStr">
        <is>
          <t>by Sep 2, 2026</t>
        </is>
      </c>
      <c r="C41" s="45" t="inlineStr">
        <is>
          <t>$10/del x 8 + 10% off</t>
        </is>
      </c>
      <c r="D41" s="4">
        <f> $80 USD +</f>
        <v/>
      </c>
      <c r="E41" s="5" t="inlineStr">
        <is>
          <t>budget assumes the $70 regular rate; interest form adds 10%</t>
        </is>
      </c>
    </row>
    <row r="42">
      <c r="A42" s="4" t="inlineStr">
        <is>
          <t>McMUN / ConMUN priority</t>
        </is>
      </c>
      <c r="B42" s="4" t="inlineStr">
        <is>
          <t>when 2027 portals open</t>
        </is>
      </c>
      <c r="C42" s="45" t="inlineStr">
        <is>
          <t>unquantified</t>
        </is>
      </c>
      <c r="D42" s="4" t="inlineStr">
        <is>
          <t>TBD</t>
        </is>
      </c>
      <c r="E42" s="5" t="inlineStr">
        <is>
          <t>priority waves cheapest; amount not yet posted</t>
        </is>
      </c>
    </row>
    <row r="43" ht="42" customHeight="1">
      <c r="A43" s="57" t="inlineStr">
        <is>
          <t>NET: registering in the early/priority windows saves ~$250 USD (~$345 CAD) on the three US confs, before McMUN/ConMUN (CIAC's 50% returning discount is already banked in the slate). The budget deliberately omits the early-window savings so they land as upside, not a number you have to hit.</t>
        </is>
      </c>
    </row>
  </sheetData>
  <mergeCells count="10">
    <mergeCell ref="A29:E29"/>
    <mergeCell ref="A18:E18"/>
    <mergeCell ref="A43:E43"/>
    <mergeCell ref="A2:E2"/>
    <mergeCell ref="A33:E33"/>
    <mergeCell ref="A1:E1"/>
    <mergeCell ref="A5:E5"/>
    <mergeCell ref="A23:E23"/>
    <mergeCell ref="A13:E13"/>
    <mergeCell ref="A9:E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18" customWidth="1" min="3" max="3"/>
    <col width="20" customWidth="1" min="4" max="4"/>
    <col width="26" customWidth="1" min="5" max="5"/>
    <col width="52" customWidth="1" min="6" max="6"/>
  </cols>
  <sheetData>
    <row r="1" ht="22" customHeight="1">
      <c r="A1" s="35" t="inlineStr">
        <is>
          <t>FINANCIAL AID &amp; FEE INCENTIVES – per conference + external funding  ·  sourced June 2026</t>
        </is>
      </c>
    </row>
    <row r="2" ht="30" customHeight="1">
      <c r="A2" s="17" t="inlineStr">
        <is>
          <t>What each conference offers to offset cost: need-based grants, merit/invoice discounts, and structural discounts (first-time / returning / bulk). Amounts are often unpublished — email the contact to get a figure. Yellow rows = aid you actually apply for.</t>
        </is>
      </c>
    </row>
    <row r="3">
      <c r="A3" t="inlineStr"/>
      <c r="B3" t="inlineStr"/>
      <c r="C3" t="inlineStr"/>
      <c r="D3" t="inlineStr"/>
      <c r="E3" t="inlineStr"/>
      <c r="F3" t="inlineStr"/>
    </row>
    <row r="4">
      <c r="A4" s="36" t="inlineStr">
        <is>
          <t>Conference</t>
        </is>
      </c>
      <c r="B4" s="36" t="inlineStr">
        <is>
          <t>Program / incentive</t>
        </is>
      </c>
      <c r="C4" s="36" t="inlineStr">
        <is>
          <t>Type</t>
        </is>
      </c>
      <c r="D4" s="36" t="inlineStr">
        <is>
          <t>Apply by</t>
        </is>
      </c>
      <c r="E4" s="36" t="inlineStr">
        <is>
          <t>Contact</t>
        </is>
      </c>
      <c r="F4" s="36" t="inlineStr">
        <is>
          <t>Notes</t>
        </is>
      </c>
    </row>
    <row r="5">
      <c r="A5" s="8" t="inlineStr">
        <is>
          <t>IN THE SELECTED SLATE (7 confs)</t>
        </is>
      </c>
    </row>
    <row r="6">
      <c r="A6" s="48" t="inlineStr">
        <is>
          <t>NCSC – Georgetown</t>
        </is>
      </c>
      <c r="B6" s="6" t="inlineStr">
        <is>
          <t>NCSCAid grant</t>
        </is>
      </c>
      <c r="C6" s="6" t="inlineStr">
        <is>
          <t>Need-based</t>
        </is>
      </c>
      <c r="D6" s="48" t="inlineStr">
        <is>
          <t>Sep 1, 2026</t>
        </is>
      </c>
      <c r="E6" s="6" t="inlineStr">
        <is>
          <t>k.lozada@modelun.org</t>
        </is>
      </c>
      <c r="F6" s="7" t="inlineStr">
        <is>
          <t>APPLY. Must be registered first. Inaugural fixed pool; dollar amount unpublished — email for a figure.</t>
        </is>
      </c>
    </row>
    <row r="7">
      <c r="A7" s="48" t="inlineStr">
        <is>
          <t>McMUN – McGill</t>
        </is>
      </c>
      <c r="B7" s="6" t="inlineStr">
        <is>
          <t>Merit invoice discount (2 waves)</t>
        </is>
      </c>
      <c r="C7" s="6" t="inlineStr">
        <is>
          <t>Merit / delegation</t>
        </is>
      </c>
      <c r="D7" s="48" t="inlineStr">
        <is>
          <t>Aug 31 / Nov 16, 2026</t>
        </is>
      </c>
      <c r="E7" s="6" t="inlineStr">
        <is>
          <t>finance@mcmun.org</t>
        </is>
      </c>
      <c r="F7" s="7" t="inlineStr">
        <is>
          <t>APPLY. Discounts the whole invoice; decisions Sep 15 (priority) / Dec 1 (regular), then 2 wks to pay. Strong target for a Canadian team.</t>
        </is>
      </c>
    </row>
    <row r="8">
      <c r="A8" s="48" t="inlineStr">
        <is>
          <t>CIAC – Cornell</t>
        </is>
      </c>
      <c r="B8" s="6" t="inlineStr">
        <is>
          <t>50% returning-delegation discount (CONFIRMED) + 11+ free</t>
        </is>
      </c>
      <c r="C8" s="6" t="inlineStr">
        <is>
          <t>Structural</t>
        </is>
      </c>
      <c r="D8" s="48" t="inlineStr">
        <is>
          <t>flag to SG at registration</t>
        </is>
      </c>
      <c r="E8" s="6" t="inlineStr">
        <is>
          <t>sg@ciaconline.org</t>
        </is>
      </c>
      <c r="F8" s="7" t="inlineStr">
        <is>
          <t>CONFIRMED eligible — last attended CIAC XIII (2022), under the 'CIAC XIV or earlier' cutoff. 50% off ALL reg costs, now BAKED INTO the budget (~$745 CAD saved). 11+ free also in budget. Email SG to confirm it stacks with 11+ free.</t>
        </is>
      </c>
    </row>
    <row r="9">
      <c r="A9" s="45" t="inlineStr">
        <is>
          <t>ChoMUN – UChicago</t>
        </is>
      </c>
      <c r="B9" s="4" t="inlineStr">
        <is>
          <t>$50 first-time-school fee + legacy discount</t>
        </is>
      </c>
      <c r="C9" s="4" t="inlineStr">
        <is>
          <t>Structural</t>
        </is>
      </c>
      <c r="D9" s="45" t="inlineStr">
        <is>
          <t>at registration</t>
        </is>
      </c>
      <c r="E9" s="4" t="inlineStr">
        <is>
          <t>dda@chomun.org</t>
        </is>
      </c>
      <c r="F9" s="5" t="inlineStr">
        <is>
          <t>$50 first-time fee already in budget. Ask re legacy/hardship pricing. No need-based aid posted.</t>
        </is>
      </c>
    </row>
    <row r="10">
      <c r="A10" s="45" t="inlineStr">
        <is>
          <t>RevMUNC – GW</t>
        </is>
      </c>
      <c r="B10" s="4" t="inlineStr">
        <is>
          <t>Interest-form 10% off delegation</t>
        </is>
      </c>
      <c r="C10" s="4" t="inlineStr">
        <is>
          <t>Structural</t>
        </is>
      </c>
      <c r="D10" s="45" t="inlineStr">
        <is>
          <t>early window ~Sep 2, 2026</t>
        </is>
      </c>
      <c r="E10" s="4" t="inlineStr">
        <is>
          <t>secgen.revmunc@gmail.com</t>
        </is>
      </c>
      <c r="F10" s="5" t="inlineStr">
        <is>
          <t>Submit interest form for 10% off. New conf — confirm fees/existence; no aid program posted.</t>
        </is>
      </c>
    </row>
    <row r="11">
      <c r="A11" s="45" t="inlineStr">
        <is>
          <t>ConMUN – Concordia</t>
        </is>
      </c>
      <c r="B11" s="4" t="inlineStr">
        <is>
          <t>None published (early-bird only)</t>
        </is>
      </c>
      <c r="C11" s="4" t="inlineStr">
        <is>
          <t>—</t>
        </is>
      </c>
      <c r="D11" s="45" t="inlineStr">
        <is>
          <t>—</t>
        </is>
      </c>
      <c r="E11" s="4" t="inlineStr">
        <is>
          <t>sg.conmun@cg-aa.org</t>
        </is>
      </c>
      <c r="F11" s="5" t="inlineStr">
        <is>
          <t>No aid; only case-by-case invoice flexibility at Secretariat discretion.</t>
        </is>
      </c>
    </row>
    <row r="12">
      <c r="A12" s="45" t="inlineStr">
        <is>
          <t>VICS – UVA</t>
        </is>
      </c>
      <c r="B12" s="4" t="inlineStr">
        <is>
          <t>None published</t>
        </is>
      </c>
      <c r="C12" s="4" t="inlineStr">
        <is>
          <t>—</t>
        </is>
      </c>
      <c r="D12" s="45" t="inlineStr">
        <is>
          <t>—</t>
        </is>
      </c>
      <c r="E12" s="4" t="inlineStr">
        <is>
          <t>sg@iro-vics.org</t>
        </is>
      </c>
      <c r="F12" s="5" t="inlineStr">
        <is>
          <t>No aid posted; fees sit behind the registration portal. Email to ask re hardship.</t>
        </is>
      </c>
    </row>
    <row r="13">
      <c r="A13" s="8" t="inlineStr">
        <is>
          <t>NOT IN CURRENT SLATE (reference)</t>
        </is>
      </c>
    </row>
    <row r="14">
      <c r="A14" s="48" t="inlineStr">
        <is>
          <t>UNCMUNC – UNC</t>
        </is>
      </c>
      <c r="B14" s="6" t="inlineStr">
        <is>
          <t>Need-based aid + CIDP 50%</t>
        </is>
      </c>
      <c r="C14" s="6" t="inlineStr">
        <is>
          <t>Need-based + structural</t>
        </is>
      </c>
      <c r="D14" s="48" t="inlineStr">
        <is>
          <t>~Jun 22, 2026</t>
        </is>
      </c>
      <c r="E14" s="6" t="inlineStr">
        <is>
          <t>uncmunc@gmail.com</t>
        </is>
      </c>
      <c r="F14" s="7" t="inlineStr">
        <is>
          <t>Applies ONLY IF swapped into the slate. Need-based open to all; CIDP 50% is first-time-Southern/HBCU/MSI only (we likely do not qualify).</t>
        </is>
      </c>
    </row>
    <row r="15">
      <c r="A15" s="45" t="inlineStr">
        <is>
          <t>UPMUNC – Penn</t>
        </is>
      </c>
      <c r="B15" s="4" t="inlineStr">
        <is>
          <t>None (timing tiers only)</t>
        </is>
      </c>
      <c r="C15" s="4" t="inlineStr">
        <is>
          <t>—</t>
        </is>
      </c>
      <c r="D15" s="45" t="inlineStr">
        <is>
          <t>—</t>
        </is>
      </c>
      <c r="E15" s="4" t="inlineStr">
        <is>
          <t>secretariat</t>
        </is>
      </c>
      <c r="F15" s="5" t="inlineStr">
        <is>
          <t>No aid; priority-window pricing only.</t>
        </is>
      </c>
    </row>
    <row r="16">
      <c r="A16" s="45" t="inlineStr">
        <is>
          <t>BUCKMUN – Ohio State</t>
        </is>
      </c>
      <c r="B16" s="4" t="inlineStr">
        <is>
          <t>Unverifiable</t>
        </is>
      </c>
      <c r="C16" s="4" t="inlineStr">
        <is>
          <t>—</t>
        </is>
      </c>
      <c r="D16" s="45" t="inlineStr">
        <is>
          <t>—</t>
        </is>
      </c>
      <c r="E16" s="4" t="inlineStr">
        <is>
          <t>buckmun@ccwaosu.org</t>
        </is>
      </c>
      <c r="F16" s="5" t="inlineStr">
        <is>
          <t>No web presence; OSU's real conf is OSUMUN (no aid). Confirm this conference exists before relying on it.</t>
        </is>
      </c>
    </row>
    <row r="17">
      <c r="A17" t="inlineStr"/>
      <c r="B17" t="inlineStr"/>
      <c r="C17" t="inlineStr"/>
      <c r="D17" t="inlineStr"/>
      <c r="E17" t="inlineStr"/>
      <c r="F17" t="inlineStr"/>
    </row>
    <row r="18">
      <c r="A18" s="58" t="inlineStr">
        <is>
          <t>EXTERNAL / INSTITUTIONAL FUNDING (offsets any conference; stackable)</t>
        </is>
      </c>
    </row>
    <row r="19">
      <c r="A19" s="45" t="inlineStr">
        <is>
          <t>AMS Clubs Experience Grant</t>
        </is>
      </c>
      <c r="B19" s="4" t="inlineStr">
        <is>
          <t>up to $4,000 / period</t>
        </is>
      </c>
      <c r="C19" s="4" t="inlineStr">
        <is>
          <t>Internal grant</t>
        </is>
      </c>
      <c r="D19" s="45" t="inlineStr">
        <is>
          <t>rolling (Summer/Fall/Winter)</t>
        </is>
      </c>
      <c r="E19" s="4" t="inlineStr">
        <is>
          <t>myams.org/clubs</t>
        </is>
      </c>
      <c r="F19" s="5" t="inlineStr">
        <is>
          <t>Largest internal pot. Pitch a trip as a club initiative; needs an AMS bank account.</t>
        </is>
      </c>
    </row>
    <row r="20">
      <c r="A20" s="45" t="inlineStr">
        <is>
          <t>Principal's Student Initiatives Fund</t>
        </is>
      </c>
      <c r="B20" s="4" t="inlineStr">
        <is>
          <t>conferences / competitions</t>
        </is>
      </c>
      <c r="C20" s="4" t="inlineStr">
        <is>
          <t>Internal grant</t>
        </is>
      </c>
      <c r="D20" s="45" t="inlineStr">
        <is>
          <t>rolling, ~2-3 day decision</t>
        </is>
      </c>
      <c r="E20" s="4" t="inlineStr">
        <is>
          <t>queensu.ca/principal</t>
        </is>
      </c>
      <c r="F20" s="5" t="inlineStr">
        <is>
          <t>Cannot tie to course credit; frame as the delegation.</t>
        </is>
      </c>
    </row>
    <row r="21">
      <c r="A21" s="45" t="inlineStr">
        <is>
          <t>FAS initiative funds (Anderson / Bartlett)</t>
        </is>
      </c>
      <c r="B21" s="4" t="inlineStr">
        <is>
          <t>program-gated</t>
        </is>
      </c>
      <c r="C21" s="4" t="inlineStr">
        <is>
          <t>Internal grant</t>
        </is>
      </c>
      <c r="D21" s="45" t="inlineStr">
        <is>
          <t>Oct / Feb / May</t>
        </is>
      </c>
      <c r="E21" s="4" t="inlineStr">
        <is>
          <t>queensu.ca/artsci</t>
        </is>
      </c>
      <c r="F21" s="5" t="inlineStr">
        <is>
          <t>Eligibility depends on members' majors (Classics/English/Phil/History etc.).</t>
        </is>
      </c>
    </row>
    <row r="22">
      <c r="A22" s="45" t="inlineStr">
        <is>
          <t>No dedicated Canadian MUN travel grant</t>
        </is>
      </c>
      <c r="B22" s="4" t="inlineStr">
        <is>
          <t>—</t>
        </is>
      </c>
      <c r="C22" s="4" t="inlineStr">
        <is>
          <t>note</t>
        </is>
      </c>
      <c r="D22" s="45" t="inlineStr">
        <is>
          <t>—</t>
        </is>
      </c>
      <c r="E22" s="4" t="inlineStr">
        <is>
          <t>—</t>
        </is>
      </c>
      <c r="F22" s="5" t="inlineStr">
        <is>
          <t>UNA-Canada/CANIMUN and ACUNS do NOT fund delegation travel to US confs. The money is internal + direct department asks.</t>
        </is>
      </c>
    </row>
    <row r="23">
      <c r="A23" t="inlineStr"/>
      <c r="B23" t="inlineStr"/>
      <c r="C23" t="inlineStr"/>
      <c r="D23" t="inlineStr"/>
      <c r="E23" t="inlineStr"/>
      <c r="F23" t="inlineStr"/>
    </row>
    <row r="24" ht="46" customHeight="1">
      <c r="A24" s="57" t="inlineStr">
        <is>
          <t>NET: McMUN (merit invoice discount) and NCSC (NCSCAid) are the two grants worth applying to — both deadline-driven Aug-Sep 2026. CIAC's 50% returning-delegation discount is CONFIRMED and already baked into the slate (~$745 CAD). UNCMUNC need-based opens a third grant only if it is swapped in (apply by ~Jun 22). Everything else is register-early structural savings tracked on Registration Windows.</t>
        </is>
      </c>
    </row>
  </sheetData>
  <mergeCells count="6">
    <mergeCell ref="A24:F24"/>
    <mergeCell ref="A2:F2"/>
    <mergeCell ref="A13:F13"/>
    <mergeCell ref="A1:F1"/>
    <mergeCell ref="A5:F5"/>
    <mergeCell ref="A18:F1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52" customWidth="1" min="6" max="6"/>
  </cols>
  <sheetData>
    <row r="1" ht="22" customHeight="1">
      <c r="A1" s="44" t="inlineStr">
        <is>
          <t>CASH FLOW 2026-27 — month-by-month money out vs money in  ·  LIVE from the Scenario Builder</t>
        </is>
      </c>
    </row>
    <row r="2" ht="48" customHeight="1">
      <c r="A2" s="17" t="inlineStr">
        <is>
          <t>Shows WHEN cash moves, not just the annual total. The cumulative column is the point: payments land before the grant and most delegate fees arrive, so the club needs a treasury buffer to bridge the low point. Toggle confs / counts / fee / funding on the Scenario Builder and this re-times itself. Month assignment is a fixed planning assumption. CAD.</t>
        </is>
      </c>
    </row>
    <row r="3">
      <c r="A3" t="inlineStr"/>
      <c r="B3" t="inlineStr"/>
      <c r="C3" t="inlineStr"/>
      <c r="D3" t="inlineStr"/>
      <c r="E3" t="inlineStr"/>
      <c r="F3" t="inlineStr"/>
    </row>
    <row r="4">
      <c r="A4" s="3" t="inlineStr">
        <is>
          <t>Month</t>
        </is>
      </c>
      <c r="B4" s="3" t="inlineStr">
        <is>
          <t>Cash out</t>
        </is>
      </c>
      <c r="C4" s="3" t="inlineStr">
        <is>
          <t>Cash in</t>
        </is>
      </c>
      <c r="D4" s="3" t="inlineStr">
        <is>
          <t>Net month</t>
        </is>
      </c>
      <c r="E4" s="3" t="inlineStr">
        <is>
          <t>Cumulative</t>
        </is>
      </c>
      <c r="F4" s="3" t="inlineStr">
        <is>
          <t>Key drivers (what lands this month)</t>
        </is>
      </c>
    </row>
    <row r="5" ht="30" customHeight="1">
      <c r="A5" s="4" t="inlineStr">
        <is>
          <t>Jul–Aug '26</t>
        </is>
      </c>
      <c r="B5" s="20">
        <f>95*'Scenario Builder'!$D$3*'Scenario Builder'!B5+75*'Scenario Builder'!$D$3*'Scenario Builder'!B6</f>
        <v/>
      </c>
      <c r="C5" s="20">
        <f>0</f>
        <v/>
      </c>
      <c r="D5" s="11">
        <f>C5-B5</f>
        <v/>
      </c>
      <c r="E5" s="20">
        <f>D5</f>
        <v/>
      </c>
      <c r="F5" s="5" t="inlineStr">
        <is>
          <t>− UPMUNC deposit  − CIAC deposit</t>
        </is>
      </c>
    </row>
    <row r="6" ht="30" customHeight="1">
      <c r="A6" s="4" t="inlineStr">
        <is>
          <t>Sep '26</t>
        </is>
      </c>
      <c r="B6" s="20">
        <f>90*'Scenario Builder'!$D$3*'Scenario Builder'!B7+100*'Scenario Builder'!$D$3*'Scenario Builder'!B8+80*'Scenario Builder'!B9+75*'Scenario Builder'!$D$3*'Scenario Builder'!B10+60*'Scenario Builder'!$D$3*'Scenario Builder'!B11+100*'Scenario Builder'!B12+50*'Scenario Builder'!$D$3*'Scenario Builder'!B13+'Operating Budget'!C6+'Operating Budget'!C12+'Operating Budget'!C13+'Operating Budget'!C14+'Operating Budget'!C15+'Operating Budget'!C17+'Operating Budget'!C20</f>
        <v/>
      </c>
      <c r="C6" s="20">
        <f>'Scenario Builder'!E23</f>
        <v/>
      </c>
      <c r="D6" s="11">
        <f>C6-B6</f>
        <v/>
      </c>
      <c r="E6" s="20">
        <f>E5+D6</f>
        <v/>
      </c>
      <c r="F6" s="5" t="inlineStr">
        <is>
          <t>− NCSC deposit  − UNCMUNC deposit  − McMUN deposit  − BUCKMUN deposit  − RevMUNC deposit  − ConMUN deposit  − ChoMUN deposit  + member dues  − operating (social</t>
        </is>
      </c>
    </row>
    <row r="7" ht="30" customHeight="1">
      <c r="A7" s="4" t="inlineStr">
        <is>
          <t>Oct '26</t>
        </is>
      </c>
      <c r="B7" s="20">
        <f>('Scenario Builder'!E5-(95*'Scenario Builder'!$D$3*'Scenario Builder'!B5))+('Scenario Builder'!E6-(75*'Scenario Builder'!$D$3*'Scenario Builder'!B6))+1500+180+'Operating Budget'!C7</f>
        <v/>
      </c>
      <c r="C7" s="20">
        <f>'Scenario Builder'!F5*'Scenario Builder'!C5*'Scenario Builder'!B5+'Scenario Builder'!F6*'Scenario Builder'!C6*'Scenario Builder'!B6+'Scenario Builder'!E22</f>
        <v/>
      </c>
      <c r="D7" s="11">
        <f>C7-B7</f>
        <v/>
      </c>
      <c r="E7" s="20">
        <f>E6+D7</f>
        <v/>
      </c>
      <c r="F7" s="5" t="inlineStr">
        <is>
          <t>− UPMUNC balance  + UPMUNC delegate fees  − CIAC balance  + CIAC delegate fees  − Communauto bonds (3×$500, refundable)  − Communauto Value subscriptions  + AMS</t>
        </is>
      </c>
    </row>
    <row r="8" ht="30" customHeight="1">
      <c r="A8" s="4" t="inlineStr">
        <is>
          <t>Nov '26</t>
        </is>
      </c>
      <c r="B8" s="20">
        <f>('Scenario Builder'!E7-(90*'Scenario Builder'!$D$3*'Scenario Builder'!B7))+('Scenario Builder'!E8-(100*'Scenario Builder'!$D$3*'Scenario Builder'!B8))</f>
        <v/>
      </c>
      <c r="C8" s="20">
        <f>'Scenario Builder'!F7*'Scenario Builder'!C7*'Scenario Builder'!B7+'Scenario Builder'!F8*'Scenario Builder'!C8*'Scenario Builder'!B8+'Scenario Builder'!E24/3</f>
        <v/>
      </c>
      <c r="D8" s="11">
        <f>C8-B8</f>
        <v/>
      </c>
      <c r="E8" s="20">
        <f>E7+D8</f>
        <v/>
      </c>
      <c r="F8" s="5" t="inlineStr">
        <is>
          <t>− NCSC balance  + NCSC delegate fees  − UNCMUNC balance  + UNCMUNC delegate fees  + bar / % night (fall)</t>
        </is>
      </c>
    </row>
    <row r="9" ht="30" customHeight="1">
      <c r="A9" s="4" t="inlineStr">
        <is>
          <t>Dec '26</t>
        </is>
      </c>
      <c r="B9" s="20">
        <f>('Scenario Builder'!E9-(80*'Scenario Builder'!B9))</f>
        <v/>
      </c>
      <c r="C9" s="20">
        <f>'Scenario Builder'!F9*'Scenario Builder'!C9*'Scenario Builder'!B9</f>
        <v/>
      </c>
      <c r="D9" s="11">
        <f>C9-B9</f>
        <v/>
      </c>
      <c r="E9" s="20">
        <f>E8+D9</f>
        <v/>
      </c>
      <c r="F9" s="5" t="inlineStr">
        <is>
          <t>− McMUN balance  + McMUN delegate fees</t>
        </is>
      </c>
    </row>
    <row r="10" ht="30" customHeight="1">
      <c r="A10" s="4" t="inlineStr">
        <is>
          <t>Jan '27</t>
        </is>
      </c>
      <c r="B10" s="20">
        <f>85*'Scenario Builder'!$D$3*'Scenario Builder'!B14+'Operating Budget'!C8</f>
        <v/>
      </c>
      <c r="C10" s="20">
        <f>0</f>
        <v/>
      </c>
      <c r="D10" s="11">
        <f>C10-B10</f>
        <v/>
      </c>
      <c r="E10" s="20">
        <f>E9+D10</f>
        <v/>
      </c>
      <c r="F10" s="5" t="inlineStr">
        <is>
          <t>− VICS deposit  − operating (socials/merch/admin)</t>
        </is>
      </c>
    </row>
    <row r="11" ht="30" customHeight="1">
      <c r="A11" s="4" t="inlineStr">
        <is>
          <t>Feb '27</t>
        </is>
      </c>
      <c r="B11" s="20">
        <f>('Scenario Builder'!E10-(75*'Scenario Builder'!$D$3*'Scenario Builder'!B10))+('Scenario Builder'!E11-(60*'Scenario Builder'!$D$3*'Scenario Builder'!B11))+('Scenario Builder'!E12-(100*'Scenario Builder'!B12))</f>
        <v/>
      </c>
      <c r="C11" s="20">
        <f>'Scenario Builder'!F10*'Scenario Builder'!C10*'Scenario Builder'!B10+'Scenario Builder'!F11*'Scenario Builder'!C11*'Scenario Builder'!B11+'Scenario Builder'!F12*'Scenario Builder'!C12*'Scenario Builder'!B12+'Scenario Builder'!E24/3</f>
        <v/>
      </c>
      <c r="D11" s="11">
        <f>C11-B11</f>
        <v/>
      </c>
      <c r="E11" s="20">
        <f>E10+D11</f>
        <v/>
      </c>
      <c r="F11" s="5" t="inlineStr">
        <is>
          <t>− BUCKMUN balance  + BUCKMUN delegate fees  − RevMUNC balance  + RevMUNC delegate fees  − ConMUN balance  + ConMUN delegate fees  + bar / % night (winter)</t>
        </is>
      </c>
    </row>
    <row r="12" ht="30" customHeight="1">
      <c r="A12" s="4" t="inlineStr">
        <is>
          <t>Mar '27</t>
        </is>
      </c>
      <c r="B12" s="20">
        <f>('Scenario Builder'!E13-(50*'Scenario Builder'!$D$3*'Scenario Builder'!B13))+('Scenario Builder'!E14-(85*'Scenario Builder'!$D$3*'Scenario Builder'!B14))+'Operating Budget'!C9+'Operating Budget'!C18+'Operating Budget'!C19</f>
        <v/>
      </c>
      <c r="C12" s="20">
        <f>'Scenario Builder'!F13*'Scenario Builder'!C13*'Scenario Builder'!B13+'Scenario Builder'!F14*'Scenario Builder'!C14*'Scenario Builder'!B14+'Scenario Builder'!E24/3+'Scenario Builder'!E25</f>
        <v/>
      </c>
      <c r="D12" s="11">
        <f>C12-B12</f>
        <v/>
      </c>
      <c r="E12" s="20">
        <f>E11+D12</f>
        <v/>
      </c>
      <c r="F12" s="5" t="inlineStr">
        <is>
          <t>− ChoMUN balance  + ChoMUN delegate fees  − VICS balance  + VICS delegate fees  + bar / % night (spring)  + team dinner (20% night)  − operating (socials/merch/</t>
        </is>
      </c>
    </row>
    <row r="13" ht="30" customHeight="1">
      <c r="A13" s="4" t="inlineStr">
        <is>
          <t>Apr '27</t>
        </is>
      </c>
      <c r="B13" s="20">
        <f>'Operating Budget'!C10+'Operating Budget'!C22</f>
        <v/>
      </c>
      <c r="C13" s="20">
        <f>0</f>
        <v/>
      </c>
      <c r="D13" s="11">
        <f>C13-B13</f>
        <v/>
      </c>
      <c r="E13" s="20">
        <f>E12+D13</f>
        <v/>
      </c>
      <c r="F13" s="5" t="inlineStr">
        <is>
          <t>− operating (socials/merch/admin)  − operating contingency</t>
        </is>
      </c>
    </row>
    <row r="14" ht="30" customHeight="1">
      <c r="A14" s="46" t="inlineStr">
        <is>
          <t>Post-season</t>
        </is>
      </c>
      <c r="B14" s="59">
        <f>0</f>
        <v/>
      </c>
      <c r="C14" s="59">
        <f>1500</f>
        <v/>
      </c>
      <c r="D14" s="33">
        <f>C14-B14</f>
        <v/>
      </c>
      <c r="E14" s="59">
        <f>E13+D14</f>
        <v/>
      </c>
      <c r="F14" s="47" t="inlineStr">
        <is>
          <t>+ Communauto bonds returned</t>
        </is>
      </c>
    </row>
    <row r="16">
      <c r="A16" s="60" t="inlineStr">
        <is>
          <t>WORKING-CAPITAL LOW POINT (most negative cumulative) →</t>
        </is>
      </c>
      <c r="B16" s="6" t="n"/>
      <c r="C16" s="6" t="n"/>
      <c r="D16" s="6" t="n"/>
      <c r="E16" s="61">
        <f>MIN(E5:E14)</f>
        <v/>
      </c>
    </row>
    <row r="17">
      <c r="A17" s="62" t="inlineStr">
        <is>
          <t>Year-end position (= the planned subsidy / Fundraising gap) →</t>
        </is>
      </c>
      <c r="B17" s="63" t="n"/>
      <c r="C17" s="63" t="n"/>
      <c r="D17" s="63" t="n"/>
      <c r="E17" s="64">
        <f>E14</f>
        <v/>
      </c>
    </row>
    <row r="19" ht="56" customHeight="1">
      <c r="A19" s="49" t="inlineStr">
        <is>
          <t>The low point is the treasury buffer (or AMS advance / bridge) the club must hold before reimbursements and spring fees land. Timing model: delegation deposits at registration; each conference's balance + delegate fees at settlement (McMUN settles Dec on the hotel-block cutoff; VICS deposit in Jan at the refund cutoff). AMS grant assumed Oct; dues at the fall clubs fair; bar nights one per term; formal in March. Edit those months to your actual portal/AMS dates in the build script.</t>
        </is>
      </c>
    </row>
  </sheetData>
  <mergeCells count="3">
    <mergeCell ref="A19:F19"/>
    <mergeCell ref="A2:F2"/>
    <mergeCell ref="A1:F1"/>
  </mergeCells>
  <conditionalFormatting sqref="E5:E14">
    <cfRule type="expression" priority="1" dxfId="2">
      <formula>E5=MIN($E$5:$E$14)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2026-06-12T16:36:02Z</dcterms:created>
  <dcterms:modified xmlns:dcterms="http://purl.org/dc/terms/" xmlns:xsi="http://www.w3.org/2001/XMLSchema-instance" xsi:type="dcterms:W3CDTF">2026-06-12T16:36:02Z</dcterms:modified>
</cp:coreProperties>
</file>