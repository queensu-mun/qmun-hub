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8 Delegates" sheetId="2" state="visible" r:id="rId2"/>
    <sheet xmlns:r="http://schemas.openxmlformats.org/officeDocument/2006/relationships" name="12 Delegates" sheetId="3" state="visible" r:id="rId3"/>
    <sheet xmlns:r="http://schemas.openxmlformats.org/officeDocument/2006/relationships" name="Selected Slate" sheetId="4" state="visible" r:id="rId4"/>
    <sheet xmlns:r="http://schemas.openxmlformats.org/officeDocument/2006/relationships" name="Assumptions &amp; Sources" sheetId="5" state="visible" r:id="rId5"/>
    <sheet xmlns:r="http://schemas.openxmlformats.org/officeDocument/2006/relationships" name="Transport Options" sheetId="6" state="visible" r:id="rId6"/>
    <sheet xmlns:r="http://schemas.openxmlformats.org/officeDocument/2006/relationships" name="Payment Timeline" sheetId="7" state="visible" r:id="rId7"/>
    <sheet xmlns:r="http://schemas.openxmlformats.org/officeDocument/2006/relationships" name="Rail Screen" sheetId="8" state="visible" r:id="rId8"/>
    <sheet xmlns:r="http://schemas.openxmlformats.org/officeDocument/2006/relationships" name="Delegate Fees" sheetId="9" state="visible" r:id="rId9"/>
    <sheet xmlns:r="http://schemas.openxmlformats.org/officeDocument/2006/relationships" name="Operating Budget" sheetId="10" state="visible" r:id="rId10"/>
    <sheet xmlns:r="http://schemas.openxmlformats.org/officeDocument/2006/relationships" name="Fundraising &amp; Net" sheetId="11" state="visible" r:id="rId11"/>
    <sheet xmlns:r="http://schemas.openxmlformats.org/officeDocument/2006/relationships" name="Registration Window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sz val="9"/>
    </font>
    <font>
      <b val="1"/>
      <color rgb="00FFFFFF"/>
    </font>
    <font>
      <b val="1"/>
    </font>
    <font>
      <b val="1"/>
      <color rgb="00C00000"/>
    </font>
    <font>
      <b val="1"/>
      <color rgb="00FFFFFF"/>
      <sz val="12"/>
    </font>
    <font>
      <b val="1"/>
      <color rgb="001F3864"/>
      <sz val="12"/>
    </font>
    <font>
      <i val="1"/>
      <color rgb="00C00000"/>
      <sz val="9"/>
    </font>
    <font>
      <b val="1"/>
      <color rgb="00FFFFFF"/>
      <sz val="13"/>
    </font>
    <font>
      <b val="1"/>
      <color rgb="001F3864"/>
    </font>
    <font>
      <color rgb="00C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4" fillId="5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3" borderId="1" pivotButton="0" quotePrefix="0" xfId="0"/>
    <xf numFmtId="0" fontId="4" fillId="6" borderId="0" pivotButton="0" quotePrefix="0" xfId="0"/>
    <xf numFmtId="0" fontId="0" fillId="6" borderId="0" pivotButton="0" quotePrefix="0" xfId="0"/>
    <xf numFmtId="0" fontId="4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applyAlignment="1" pivotButton="0" quotePrefix="0" xfId="0">
      <alignment vertical="center"/>
    </xf>
    <xf numFmtId="0" fontId="3" fillId="3" borderId="0" pivotButton="0" quotePrefix="0" xfId="0"/>
    <xf numFmtId="0" fontId="9" fillId="2" borderId="0" pivotButton="0" quotePrefix="0" xfId="0"/>
    <xf numFmtId="0" fontId="4" fillId="5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0" fillId="7" borderId="1" pivotButton="0" quotePrefix="0" xfId="0"/>
    <xf numFmtId="0" fontId="4" fillId="7" borderId="1" pivotButton="0" quotePrefix="0" xfId="0"/>
    <xf numFmtId="0" fontId="0" fillId="7" borderId="1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  <xf numFmtId="0" fontId="10" fillId="7" borderId="0" pivotButton="0" quotePrefix="0" xfId="0"/>
    <xf numFmtId="0" fontId="0" fillId="7" borderId="0" pivotButton="0" quotePrefix="0" xfId="0"/>
    <xf numFmtId="0" fontId="2" fillId="0" borderId="0" applyAlignment="1" pivotButton="0" quotePrefix="0" xfId="0">
      <alignment wrapText="1"/>
    </xf>
    <xf numFmtId="0" fontId="11" fillId="8" borderId="1" pivotButton="0" quotePrefix="0" xfId="0"/>
    <xf numFmtId="0" fontId="2" fillId="6" borderId="0" pivotButton="0" quotePrefix="0" xfId="0"/>
    <xf numFmtId="0" fontId="3" fillId="2" borderId="1" pivotButton="0" quotePrefix="0" xfId="0"/>
    <xf numFmtId="0" fontId="10" fillId="4" borderId="0" applyAlignment="1" pivotButton="0" quotePrefix="0" xfId="0">
      <alignment vertical="center" wrapText="1"/>
    </xf>
    <xf numFmtId="0" fontId="4" fillId="0" borderId="0" pivotButton="0" quotePrefix="0" xfId="0"/>
    <xf numFmtId="0" fontId="0" fillId="4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52" customWidth="1" min="9" max="9"/>
  </cols>
  <sheetData>
    <row r="1" ht="24" customHeight="1">
      <c r="A1" s="1" t="inlineStr">
        <is>
          <t>Queen's Model United Nations – Conference Budget 2026-27</t>
        </is>
      </c>
    </row>
    <row r="2">
      <c r="A2" s="2" t="inlineStr">
        <is>
          <t>Transport: US confs = Communauto Value plan + Long Distance · Montreal confs = Megabus · UNCMUNC = fly. Kingston origin. Sourced June 2026.</t>
        </is>
      </c>
    </row>
    <row r="3">
      <c r="A3" s="2" t="inlineStr">
        <is>
          <t>4 del/room · 4 del/car · 3 nights · USD&gt;CAD 1.39 · +10% contingency · McMUN &amp; ConMUN FIXED at 20 del · excl. meals &amp; faculty.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28" customHeight="1">
      <c r="A5" s="3" t="inlineStr">
        <is>
          <t>Conference</t>
        </is>
      </c>
      <c r="B5" s="3" t="inlineStr">
        <is>
          <t>City</t>
        </is>
      </c>
      <c r="C5" s="3" t="inlineStr">
        <is>
          <t>Dates</t>
        </is>
      </c>
      <c r="D5" s="3" t="inlineStr">
        <is>
          <t>Travel</t>
        </is>
      </c>
      <c r="E5" s="3" t="inlineStr">
        <is>
          <t>8-del* – CAD</t>
        </is>
      </c>
      <c r="F5" s="3" t="inlineStr">
        <is>
          <t>8-del* – USD</t>
        </is>
      </c>
      <c r="G5" s="3" t="inlineStr">
        <is>
          <t>12-del* – CAD</t>
        </is>
      </c>
      <c r="H5" s="3" t="inlineStr">
        <is>
          <t>12-del* – USD</t>
        </is>
      </c>
      <c r="I5" s="3" t="inlineStr">
        <is>
          <t>Key note</t>
        </is>
      </c>
    </row>
    <row r="6" ht="26" customHeight="1">
      <c r="A6" s="4" t="inlineStr">
        <is>
          <t>UPMUNC – Penn</t>
        </is>
      </c>
      <c r="B6" s="4" t="inlineStr">
        <is>
          <t>Philadelphia, PA</t>
        </is>
      </c>
      <c r="C6" s="4" t="inlineStr">
        <is>
          <t>Oct 15-18, 2026</t>
        </is>
      </c>
      <c r="D6" s="4" t="inlineStr">
        <is>
          <t>Commauto 6.5h</t>
        </is>
      </c>
      <c r="E6" s="4" t="inlineStr">
        <is>
          <t>$4,448</t>
        </is>
      </c>
      <c r="F6" s="4" t="inlineStr">
        <is>
          <t>$3,200</t>
        </is>
      </c>
      <c r="G6" s="4" t="inlineStr">
        <is>
          <t>$6,599</t>
        </is>
      </c>
      <c r="H6" s="4" t="inlineStr">
        <is>
          <t>$4,748</t>
        </is>
      </c>
      <c r="I6" s="5" t="inlineStr">
        <is>
          <t>Verify dates (usually Nov). Off-block $20/del/nt.</t>
        </is>
      </c>
    </row>
    <row r="7" ht="26" customHeight="1">
      <c r="A7" s="4" t="inlineStr">
        <is>
          <t>CIAC – Cornell</t>
        </is>
      </c>
      <c r="B7" s="4" t="inlineStr">
        <is>
          <t>Ithaca, NY</t>
        </is>
      </c>
      <c r="C7" s="4" t="inlineStr">
        <is>
          <t>Oct 22-25, 2026</t>
        </is>
      </c>
      <c r="D7" s="4" t="inlineStr">
        <is>
          <t>Commauto 3.5h</t>
        </is>
      </c>
      <c r="E7" s="4" t="inlineStr">
        <is>
          <t>$3,403</t>
        </is>
      </c>
      <c r="F7" s="4" t="inlineStr">
        <is>
          <t>$2,448</t>
        </is>
      </c>
      <c r="G7" s="4" t="inlineStr">
        <is>
          <t>$4,771</t>
        </is>
      </c>
      <c r="H7" s="4" t="inlineStr">
        <is>
          <t>$3,433</t>
        </is>
      </c>
      <c r="I7" s="5" t="inlineStr">
        <is>
          <t>Delegates 11+ FREE. Closest. $149/nt incl breakfast.</t>
        </is>
      </c>
    </row>
    <row r="8" ht="26" customHeight="1">
      <c r="A8" s="4" t="inlineStr">
        <is>
          <t>NCSC – Georgetown</t>
        </is>
      </c>
      <c r="B8" s="4" t="inlineStr">
        <is>
          <t>Washington, DC</t>
        </is>
      </c>
      <c r="C8" s="4" t="inlineStr">
        <is>
          <t>Nov 5-8, 2026</t>
        </is>
      </c>
      <c r="D8" s="4" t="inlineStr">
        <is>
          <t>Commauto 8h</t>
        </is>
      </c>
      <c r="E8" s="4" t="inlineStr">
        <is>
          <t>$6,149</t>
        </is>
      </c>
      <c r="F8" s="4" t="inlineStr">
        <is>
          <t>$4,424</t>
        </is>
      </c>
      <c r="G8" s="4" t="inlineStr">
        <is>
          <t>$9,155</t>
        </is>
      </c>
      <c r="H8" s="4" t="inlineStr">
        <is>
          <t>$6,586</t>
        </is>
      </c>
      <c r="I8" s="5" t="inlineStr">
        <is>
          <t>Washington Hilton; off-block $150/school/nt. Priciest hotel.</t>
        </is>
      </c>
    </row>
    <row r="9" ht="26" customHeight="1">
      <c r="A9" s="4" t="inlineStr">
        <is>
          <t>UNCMUNC – UNC</t>
        </is>
      </c>
      <c r="B9" s="4" t="inlineStr">
        <is>
          <t>Chapel Hill, NC</t>
        </is>
      </c>
      <c r="C9" s="4" t="inlineStr">
        <is>
          <t>Nov 19-22, 2026</t>
        </is>
      </c>
      <c r="D9" s="4" t="inlineStr">
        <is>
          <t>Fly (YYZ-RDU)</t>
        </is>
      </c>
      <c r="E9" s="4" t="inlineStr">
        <is>
          <t>$8,855</t>
        </is>
      </c>
      <c r="F9" s="4" t="inlineStr">
        <is>
          <t>$6,371</t>
        </is>
      </c>
      <c r="G9" s="4" t="inlineStr">
        <is>
          <t>$12,739</t>
        </is>
      </c>
      <c r="H9" s="4" t="inlineStr">
        <is>
          <t>$9,165</t>
        </is>
      </c>
      <c r="I9" s="5" t="inlineStr">
        <is>
          <t>14-15h each way = fly. No host hotel block.</t>
        </is>
      </c>
    </row>
    <row r="10" ht="26" customHeight="1">
      <c r="A10" s="6" t="inlineStr">
        <is>
          <t>McMUN – McGill</t>
        </is>
      </c>
      <c r="B10" s="6" t="inlineStr">
        <is>
          <t>Montreal, QC</t>
        </is>
      </c>
      <c r="C10" s="6" t="inlineStr">
        <is>
          <t>Jan 28-31, 2027</t>
        </is>
      </c>
      <c r="D10" s="6" t="inlineStr">
        <is>
          <t>Megabus 3.5h</t>
        </is>
      </c>
      <c r="E10" s="6" t="inlineStr">
        <is>
          <t>$9,119</t>
        </is>
      </c>
      <c r="F10" s="6" t="inlineStr">
        <is>
          <t>$6,560</t>
        </is>
      </c>
      <c r="G10" s="6" t="inlineStr">
        <is>
          <t>$9,119</t>
        </is>
      </c>
      <c r="H10" s="6" t="inlineStr">
        <is>
          <t>$6,560</t>
        </is>
      </c>
      <c r="I10" s="7" t="inlineStr">
        <is>
          <t>FIXED 20 DEL. FIXED 20 del. Per-del EST (2027 table unposted, incl $20 social). Sheraton quad $234.</t>
        </is>
      </c>
    </row>
    <row r="11" ht="26" customHeight="1">
      <c r="A11" s="4" t="inlineStr">
        <is>
          <t>BUCKMUN – Ohio State</t>
        </is>
      </c>
      <c r="B11" s="4" t="inlineStr">
        <is>
          <t>Columbus, OH</t>
        </is>
      </c>
      <c r="C11" s="4" t="inlineStr">
        <is>
          <t>Feb 4-7, 2027</t>
        </is>
      </c>
      <c r="D11" s="4" t="inlineStr">
        <is>
          <t>Commauto 9h</t>
        </is>
      </c>
      <c r="E11" s="4" t="inlineStr">
        <is>
          <t>$3,938</t>
        </is>
      </c>
      <c r="F11" s="4" t="inlineStr">
        <is>
          <t>$2,833</t>
        </is>
      </c>
      <c r="G11" s="4" t="inlineStr">
        <is>
          <t>$5,850</t>
        </is>
      </c>
      <c r="H11" s="4" t="inlineStr">
        <is>
          <t>$4,208</t>
        </is>
      </c>
      <c r="I11" s="5" t="inlineStr">
        <is>
          <t>INAUGURAL – fees ESTIMATED. Confirm w/ organizers.</t>
        </is>
      </c>
    </row>
    <row r="12" ht="26" customHeight="1">
      <c r="A12" s="6" t="inlineStr">
        <is>
          <t>ConMUN – Concordia</t>
        </is>
      </c>
      <c r="B12" s="6" t="inlineStr">
        <is>
          <t>Montreal, QC</t>
        </is>
      </c>
      <c r="C12" s="6" t="inlineStr">
        <is>
          <t>~Mar 11-14, 2027</t>
        </is>
      </c>
      <c r="D12" s="6" t="inlineStr">
        <is>
          <t>Megabus 3.5h</t>
        </is>
      </c>
      <c r="E12" s="6" t="inlineStr">
        <is>
          <t>$9,058</t>
        </is>
      </c>
      <c r="F12" s="6" t="inlineStr">
        <is>
          <t>$6,517</t>
        </is>
      </c>
      <c r="G12" s="6" t="inlineStr">
        <is>
          <t>$9,058</t>
        </is>
      </c>
      <c r="H12" s="6" t="inlineStr">
        <is>
          <t>$6,517</t>
        </is>
      </c>
      <c r="I12" s="7" t="inlineStr">
        <is>
          <t>FIXED 20 DEL. FIXED 20 del. 2027 dates TBD (2026 figs). DoubleTree $229/rm.</t>
        </is>
      </c>
    </row>
    <row r="13" ht="26" customHeight="1">
      <c r="A13" s="4" t="inlineStr">
        <is>
          <t>ChoMUN – UChicago</t>
        </is>
      </c>
      <c r="B13" s="4" t="inlineStr">
        <is>
          <t>Chicago, IL</t>
        </is>
      </c>
      <c r="C13" s="4" t="inlineStr">
        <is>
          <t>Mar 25-28, 2027</t>
        </is>
      </c>
      <c r="D13" s="4" t="inlineStr">
        <is>
          <t>Commauto 10h</t>
        </is>
      </c>
      <c r="E13" s="4" t="inlineStr">
        <is>
          <t>$4,925</t>
        </is>
      </c>
      <c r="F13" s="4" t="inlineStr">
        <is>
          <t>$3,543</t>
        </is>
      </c>
      <c r="G13" s="4" t="inlineStr">
        <is>
          <t>$7,350</t>
        </is>
      </c>
      <c r="H13" s="4" t="inlineStr">
        <is>
          <t>$5,287</t>
        </is>
      </c>
      <c r="I13" s="5" t="inlineStr">
        <is>
          <t>Palmer House $201/quad. First-time deleg $50. 5% CC surcharge.</t>
        </is>
      </c>
    </row>
    <row r="14" ht="26" customHeight="1">
      <c r="A14" s="4" t="inlineStr">
        <is>
          <t>VICS – UVA</t>
        </is>
      </c>
      <c r="B14" s="4" t="inlineStr">
        <is>
          <t>Charlottesville, VA</t>
        </is>
      </c>
      <c r="C14" s="4" t="inlineStr">
        <is>
          <t>~Mar 25-28, 2027</t>
        </is>
      </c>
      <c r="D14" s="4" t="inlineStr">
        <is>
          <t>Commauto 11-13h</t>
        </is>
      </c>
      <c r="E14" s="4" t="inlineStr">
        <is>
          <t>$4,724</t>
        </is>
      </c>
      <c r="F14" s="4" t="inlineStr">
        <is>
          <t>$3,399</t>
        </is>
      </c>
      <c r="G14" s="4" t="inlineStr">
        <is>
          <t>$7,022</t>
        </is>
      </c>
      <c r="H14" s="4" t="inlineStr">
        <is>
          <t>$5,051</t>
        </is>
      </c>
      <c r="I14" s="5" t="inlineStr">
        <is>
          <t>VICS 31 dates TBD. Blocks $169-222; used $189.</t>
        </is>
      </c>
    </row>
    <row r="15">
      <c r="A15" s="8" t="inlineStr">
        <is>
          <t>Conferences subtotal (9)</t>
        </is>
      </c>
      <c r="B15" s="8" t="inlineStr"/>
      <c r="C15" s="8" t="inlineStr"/>
      <c r="D15" s="8" t="inlineStr"/>
      <c r="E15" s="8" t="inlineStr">
        <is>
          <t>$54,620</t>
        </is>
      </c>
      <c r="F15" s="8" t="inlineStr">
        <is>
          <t>$39,295</t>
        </is>
      </c>
      <c r="G15" s="8" t="inlineStr">
        <is>
          <t>$71,663</t>
        </is>
      </c>
      <c r="H15" s="8" t="inlineStr">
        <is>
          <t>$51,556</t>
        </is>
      </c>
      <c r="I15" s="8" t="inlineStr">
        <is>
          <t>*US confs at 8 or 12; Montreal confs always 20</t>
        </is>
      </c>
    </row>
    <row r="16">
      <c r="A16" t="inlineStr">
        <is>
          <t>+ Communauto Value subscriptions</t>
        </is>
      </c>
      <c r="B16" t="inlineStr"/>
      <c r="C16" t="inlineStr"/>
      <c r="D16" t="inlineStr"/>
      <c r="E16" t="inlineStr">
        <is>
          <t>$180</t>
        </is>
      </c>
      <c r="F16" t="inlineStr">
        <is>
          <t>$129</t>
        </is>
      </c>
      <c r="G16" t="inlineStr">
        <is>
          <t>$180</t>
        </is>
      </c>
      <c r="H16" t="inlineStr">
        <is>
          <t>$129</t>
        </is>
      </c>
      <c r="I16" t="inlineStr">
        <is>
          <t>3 accts x $60/yr ($5/mo plan unlocks Long Distance)</t>
        </is>
      </c>
    </row>
    <row r="17">
      <c r="A17" s="9" t="inlineStr">
        <is>
          <t>PROGRAM TOTAL</t>
        </is>
      </c>
      <c r="B17" s="9" t="inlineStr"/>
      <c r="C17" s="9" t="inlineStr"/>
      <c r="D17" s="9" t="inlineStr"/>
      <c r="E17" s="9" t="inlineStr">
        <is>
          <t>$54,800</t>
        </is>
      </c>
      <c r="F17" s="9" t="inlineStr">
        <is>
          <t>$39,424</t>
        </is>
      </c>
      <c r="G17" s="9" t="inlineStr">
        <is>
          <t>$71,843</t>
        </is>
      </c>
      <c r="H17" s="9" t="inlineStr">
        <is>
          <t>$51,685</t>
        </is>
      </c>
      <c r="I17" s="9" t="inlineStr">
        <is>
          <t>+3 x $500 refundable Communauto bonds (not a cost)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10" t="inlineStr">
        <is>
          <t>FLAGS: McMUN/ConMUN fees CAD-native, partly prior-year (2027 tables unposted) · BUCKMUN inaugural (estimated) · UPMUNC Oct dates unusual · VICS/ConMUN dates TBD.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1" t="inlineStr">
        <is>
          <t>LINE-ITEM DETAIL – 8-delegate scenario (Montreal confs fixed at 20)</t>
        </is>
      </c>
    </row>
    <row r="2">
      <c r="A2" s="2" t="inlineStr">
        <is>
          <t>US confs USD&gt;CAD @1.39. Montreal confs CAD-native (USD col = equiv). Communauto/Megabus native CAD, incl tax.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12" t="inlineStr">
        <is>
          <t>Conference / Line item</t>
        </is>
      </c>
      <c r="B4" s="12" t="inlineStr">
        <is>
          <t>Basis</t>
        </is>
      </c>
      <c r="C4" s="12" t="inlineStr">
        <is>
          <t>Rate</t>
        </is>
      </c>
      <c r="D4" s="12" t="inlineStr">
        <is>
          <t>Qty</t>
        </is>
      </c>
      <c r="E4" s="12" t="inlineStr">
        <is>
          <t>USD</t>
        </is>
      </c>
      <c r="F4" s="12" t="inlineStr">
        <is>
          <t>CAD</t>
        </is>
      </c>
    </row>
    <row r="5">
      <c r="A5" s="8" t="inlineStr">
        <is>
          <t>▼ UPMUNC – Penn  (Philadelphia, PA, Oct 15-18, 2026)</t>
        </is>
      </c>
      <c r="B5" s="8" t="inlineStr"/>
      <c r="C5" s="8" t="inlineStr"/>
      <c r="D5" s="8" t="inlineStr"/>
      <c r="E5" s="8" t="inlineStr"/>
      <c r="F5" s="8" t="inlineStr"/>
    </row>
    <row r="6">
      <c r="A6" t="inlineStr">
        <is>
          <t xml:space="preserve">   Delegation fee</t>
        </is>
      </c>
      <c r="B6" t="inlineStr">
        <is>
          <t>flat</t>
        </is>
      </c>
      <c r="C6" t="inlineStr">
        <is>
          <t>$95 USD</t>
        </is>
      </c>
      <c r="D6" t="inlineStr">
        <is>
          <t>1</t>
        </is>
      </c>
      <c r="E6" t="inlineStr">
        <is>
          <t>$95</t>
        </is>
      </c>
      <c r="F6" t="inlineStr">
        <is>
          <t>$132</t>
        </is>
      </c>
    </row>
    <row r="7">
      <c r="A7" t="inlineStr">
        <is>
          <t xml:space="preserve">   Delegate fees</t>
        </is>
      </c>
      <c r="B7" t="inlineStr">
        <is>
          <t>8 billable</t>
        </is>
      </c>
      <c r="C7" t="inlineStr">
        <is>
          <t>$110 USD</t>
        </is>
      </c>
      <c r="D7" t="inlineStr">
        <is>
          <t>8</t>
        </is>
      </c>
      <c r="E7" t="inlineStr">
        <is>
          <t>$880</t>
        </is>
      </c>
      <c r="F7" t="inlineStr">
        <is>
          <t>$1,223</t>
        </is>
      </c>
    </row>
    <row r="8">
      <c r="A8" t="inlineStr">
        <is>
          <t xml:space="preserve">   Hotel</t>
        </is>
      </c>
      <c r="B8" t="inlineStr">
        <is>
          <t>2 rms x 3 nts</t>
        </is>
      </c>
      <c r="C8" t="inlineStr">
        <is>
          <t>$200 USD</t>
        </is>
      </c>
      <c r="D8" t="inlineStr">
        <is>
          <t>6</t>
        </is>
      </c>
      <c r="E8" t="inlineStr">
        <is>
          <t>$1,200</t>
        </is>
      </c>
      <c r="F8" t="inlineStr">
        <is>
          <t>$1,668</t>
        </is>
      </c>
    </row>
    <row r="9">
      <c r="A9" t="inlineStr">
        <is>
          <t xml:space="preserve">   Communauto Value+LongDist</t>
        </is>
      </c>
      <c r="B9" t="inlineStr">
        <is>
          <t>2 cars x $510/car</t>
        </is>
      </c>
      <c r="C9" t="inlineStr">
        <is>
          <t>gas incl</t>
        </is>
      </c>
      <c r="D9" t="inlineStr">
        <is>
          <t>2</t>
        </is>
      </c>
      <c r="E9" t="inlineStr">
        <is>
          <t>—</t>
        </is>
      </c>
      <c r="F9" t="inlineStr">
        <is>
          <t>$1,020</t>
        </is>
      </c>
    </row>
    <row r="10">
      <c r="A10" s="2" t="inlineStr">
        <is>
          <t xml:space="preserve">      (per car: $157 time + $264 km + $30 dmg, x13% HST)</t>
        </is>
      </c>
      <c r="B10" t="inlineStr"/>
      <c r="C10" t="inlineStr"/>
      <c r="D10" t="inlineStr"/>
      <c r="E10" t="inlineStr"/>
      <c r="F10" t="inlineStr"/>
    </row>
    <row r="11">
      <c r="A11" s="2" t="inlineStr">
        <is>
          <t xml:space="preserve">   Subtotal</t>
        </is>
      </c>
      <c r="B11" t="inlineStr"/>
      <c r="C11" t="inlineStr"/>
      <c r="D11" t="inlineStr"/>
      <c r="E11" t="inlineStr">
        <is>
          <t>$2,909</t>
        </is>
      </c>
      <c r="F11" t="inlineStr">
        <is>
          <t>$4,044</t>
        </is>
      </c>
    </row>
    <row r="12">
      <c r="A12" s="2" t="inlineStr">
        <is>
          <t xml:space="preserve">   Contingency 10%</t>
        </is>
      </c>
      <c r="B12" t="inlineStr"/>
      <c r="C12" t="inlineStr"/>
      <c r="D12" t="inlineStr"/>
      <c r="E12" t="inlineStr">
        <is>
          <t>$291</t>
        </is>
      </c>
      <c r="F12" t="inlineStr">
        <is>
          <t>$404</t>
        </is>
      </c>
    </row>
    <row r="13">
      <c r="A13" s="13" t="inlineStr">
        <is>
          <t xml:space="preserve">   TOTAL – UPMUNC – Penn (DRIVE, 8 del)</t>
        </is>
      </c>
      <c r="B13" s="14" t="inlineStr"/>
      <c r="C13" s="14" t="inlineStr"/>
      <c r="D13" s="14" t="inlineStr"/>
      <c r="E13" s="14" t="inlineStr">
        <is>
          <t>$3,200</t>
        </is>
      </c>
      <c r="F13" s="14" t="inlineStr">
        <is>
          <t>$4,448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8" t="inlineStr">
        <is>
          <t>▼ CIAC – Cornell  (Ithaca, NY, Oct 22-25, 2026)</t>
        </is>
      </c>
      <c r="B15" s="8" t="inlineStr"/>
      <c r="C15" s="8" t="inlineStr"/>
      <c r="D15" s="8" t="inlineStr"/>
      <c r="E15" s="8" t="inlineStr"/>
      <c r="F15" s="8" t="inlineStr"/>
    </row>
    <row r="16">
      <c r="A16" t="inlineStr">
        <is>
          <t xml:space="preserve">   Delegation fee</t>
        </is>
      </c>
      <c r="B16" t="inlineStr">
        <is>
          <t>flat</t>
        </is>
      </c>
      <c r="C16" t="inlineStr">
        <is>
          <t>$75 USD</t>
        </is>
      </c>
      <c r="D16" t="inlineStr">
        <is>
          <t>1</t>
        </is>
      </c>
      <c r="E16" t="inlineStr">
        <is>
          <t>$75</t>
        </is>
      </c>
      <c r="F16" t="inlineStr">
        <is>
          <t>$104</t>
        </is>
      </c>
    </row>
    <row r="17">
      <c r="A17" t="inlineStr">
        <is>
          <t xml:space="preserve">   Delegate fees</t>
        </is>
      </c>
      <c r="B17" t="inlineStr">
        <is>
          <t>8 billable</t>
        </is>
      </c>
      <c r="C17" t="inlineStr">
        <is>
          <t>$90 USD</t>
        </is>
      </c>
      <c r="D17" t="inlineStr">
        <is>
          <t>8</t>
        </is>
      </c>
      <c r="E17" t="inlineStr">
        <is>
          <t>$720</t>
        </is>
      </c>
      <c r="F17" t="inlineStr">
        <is>
          <t>$1,001</t>
        </is>
      </c>
    </row>
    <row r="18">
      <c r="A18" t="inlineStr">
        <is>
          <t xml:space="preserve">   Hotel</t>
        </is>
      </c>
      <c r="B18" t="inlineStr">
        <is>
          <t>2 rms x 3 nts</t>
        </is>
      </c>
      <c r="C18" t="inlineStr">
        <is>
          <t>$149 USD</t>
        </is>
      </c>
      <c r="D18" t="inlineStr">
        <is>
          <t>6</t>
        </is>
      </c>
      <c r="E18" t="inlineStr">
        <is>
          <t>$894</t>
        </is>
      </c>
      <c r="F18" t="inlineStr">
        <is>
          <t>$1,243</t>
        </is>
      </c>
    </row>
    <row r="19">
      <c r="A19" t="inlineStr">
        <is>
          <t xml:space="preserve">   Communauto Value+LongDist</t>
        </is>
      </c>
      <c r="B19" t="inlineStr">
        <is>
          <t>2 cars x $373/car</t>
        </is>
      </c>
      <c r="C19" t="inlineStr">
        <is>
          <t>gas incl</t>
        </is>
      </c>
      <c r="D19" t="inlineStr">
        <is>
          <t>2</t>
        </is>
      </c>
      <c r="E19" t="inlineStr">
        <is>
          <t>—</t>
        </is>
      </c>
      <c r="F19" t="inlineStr">
        <is>
          <t>$745</t>
        </is>
      </c>
    </row>
    <row r="20">
      <c r="A20" s="2" t="inlineStr">
        <is>
          <t xml:space="preserve">      (per car: $157 time + $143 km + $30 dmg, x13% HST)</t>
        </is>
      </c>
      <c r="B20" t="inlineStr"/>
      <c r="C20" t="inlineStr"/>
      <c r="D20" t="inlineStr"/>
      <c r="E20" t="inlineStr"/>
      <c r="F20" t="inlineStr"/>
    </row>
    <row r="21">
      <c r="A21" s="2" t="inlineStr">
        <is>
          <t xml:space="preserve">   Subtotal</t>
        </is>
      </c>
      <c r="B21" t="inlineStr"/>
      <c r="C21" t="inlineStr"/>
      <c r="D21" t="inlineStr"/>
      <c r="E21" t="inlineStr">
        <is>
          <t>$2,225</t>
        </is>
      </c>
      <c r="F21" t="inlineStr">
        <is>
          <t>$3,093</t>
        </is>
      </c>
    </row>
    <row r="22">
      <c r="A22" s="2" t="inlineStr">
        <is>
          <t xml:space="preserve">   Contingency 10%</t>
        </is>
      </c>
      <c r="B22" t="inlineStr"/>
      <c r="C22" t="inlineStr"/>
      <c r="D22" t="inlineStr"/>
      <c r="E22" t="inlineStr">
        <is>
          <t>$223</t>
        </is>
      </c>
      <c r="F22" t="inlineStr">
        <is>
          <t>$309</t>
        </is>
      </c>
    </row>
    <row r="23">
      <c r="A23" s="13" t="inlineStr">
        <is>
          <t xml:space="preserve">   TOTAL – CIAC – Cornell (DRIVE, 8 del)</t>
        </is>
      </c>
      <c r="B23" s="14" t="inlineStr"/>
      <c r="C23" s="14" t="inlineStr"/>
      <c r="D23" s="14" t="inlineStr"/>
      <c r="E23" s="14" t="inlineStr">
        <is>
          <t>$2,448</t>
        </is>
      </c>
      <c r="F23" s="14" t="inlineStr">
        <is>
          <t>$3,403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8" t="inlineStr">
        <is>
          <t>▼ NCSC – Georgetown  (Washington, DC, Nov 5-8, 2026)</t>
        </is>
      </c>
      <c r="B25" s="8" t="inlineStr"/>
      <c r="C25" s="8" t="inlineStr"/>
      <c r="D25" s="8" t="inlineStr"/>
      <c r="E25" s="8" t="inlineStr"/>
      <c r="F25" s="8" t="inlineStr"/>
    </row>
    <row r="26">
      <c r="A26" t="inlineStr">
        <is>
          <t xml:space="preserve">   Delegation fee</t>
        </is>
      </c>
      <c r="B26" t="inlineStr">
        <is>
          <t>flat</t>
        </is>
      </c>
      <c r="C26" t="inlineStr">
        <is>
          <t>$90 USD</t>
        </is>
      </c>
      <c r="D26" t="inlineStr">
        <is>
          <t>1</t>
        </is>
      </c>
      <c r="E26" t="inlineStr">
        <is>
          <t>$90</t>
        </is>
      </c>
      <c r="F26" t="inlineStr">
        <is>
          <t>$125</t>
        </is>
      </c>
    </row>
    <row r="27">
      <c r="A27" t="inlineStr">
        <is>
          <t xml:space="preserve">   Delegate fees</t>
        </is>
      </c>
      <c r="B27" t="inlineStr">
        <is>
          <t>8 billable</t>
        </is>
      </c>
      <c r="C27" t="inlineStr">
        <is>
          <t>$110 USD</t>
        </is>
      </c>
      <c r="D27" t="inlineStr">
        <is>
          <t>8</t>
        </is>
      </c>
      <c r="E27" t="inlineStr">
        <is>
          <t>$880</t>
        </is>
      </c>
      <c r="F27" t="inlineStr">
        <is>
          <t>$1,223</t>
        </is>
      </c>
    </row>
    <row r="28">
      <c r="A28" t="inlineStr">
        <is>
          <t xml:space="preserve">   Hotel</t>
        </is>
      </c>
      <c r="B28" t="inlineStr">
        <is>
          <t>2 rms x 3 nts</t>
        </is>
      </c>
      <c r="C28" t="inlineStr">
        <is>
          <t>$366 USD</t>
        </is>
      </c>
      <c r="D28" t="inlineStr">
        <is>
          <t>6</t>
        </is>
      </c>
      <c r="E28" t="inlineStr">
        <is>
          <t>$2,196</t>
        </is>
      </c>
      <c r="F28" t="inlineStr">
        <is>
          <t>$3,052</t>
        </is>
      </c>
    </row>
    <row r="29">
      <c r="A29" t="inlineStr">
        <is>
          <t xml:space="preserve">   Communauto Value+LongDist</t>
        </is>
      </c>
      <c r="B29" t="inlineStr">
        <is>
          <t>2 cars x $595/car</t>
        </is>
      </c>
      <c r="C29" t="inlineStr">
        <is>
          <t>gas incl</t>
        </is>
      </c>
      <c r="D29" t="inlineStr">
        <is>
          <t>2</t>
        </is>
      </c>
      <c r="E29" t="inlineStr">
        <is>
          <t>—</t>
        </is>
      </c>
      <c r="F29" t="inlineStr">
        <is>
          <t>$1,189</t>
        </is>
      </c>
    </row>
    <row r="30">
      <c r="A30" s="2" t="inlineStr">
        <is>
          <t xml:space="preserve">      (per car: $157 time + $339 km + $30 dmg, x13% HST)</t>
        </is>
      </c>
      <c r="B30" t="inlineStr"/>
      <c r="C30" t="inlineStr"/>
      <c r="D30" t="inlineStr"/>
      <c r="E30" t="inlineStr"/>
      <c r="F30" t="inlineStr"/>
    </row>
    <row r="31">
      <c r="A31" s="2" t="inlineStr">
        <is>
          <t xml:space="preserve">   Subtotal</t>
        </is>
      </c>
      <c r="B31" t="inlineStr"/>
      <c r="C31" t="inlineStr"/>
      <c r="D31" t="inlineStr"/>
      <c r="E31" t="inlineStr">
        <is>
          <t>$4,022</t>
        </is>
      </c>
      <c r="F31" t="inlineStr">
        <is>
          <t>$5,590</t>
        </is>
      </c>
    </row>
    <row r="32">
      <c r="A32" s="2" t="inlineStr">
        <is>
          <t xml:space="preserve">   Contingency 10%</t>
        </is>
      </c>
      <c r="B32" t="inlineStr"/>
      <c r="C32" t="inlineStr"/>
      <c r="D32" t="inlineStr"/>
      <c r="E32" t="inlineStr">
        <is>
          <t>$402</t>
        </is>
      </c>
      <c r="F32" t="inlineStr">
        <is>
          <t>$559</t>
        </is>
      </c>
    </row>
    <row r="33">
      <c r="A33" s="13" t="inlineStr">
        <is>
          <t xml:space="preserve">   TOTAL – NCSC – Georgetown (DRIVE, 8 del)</t>
        </is>
      </c>
      <c r="B33" s="14" t="inlineStr"/>
      <c r="C33" s="14" t="inlineStr"/>
      <c r="D33" s="14" t="inlineStr"/>
      <c r="E33" s="14" t="inlineStr">
        <is>
          <t>$4,424</t>
        </is>
      </c>
      <c r="F33" s="14" t="inlineStr">
        <is>
          <t>$6,149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s="8" t="inlineStr">
        <is>
          <t>▼ UNCMUNC – UNC  (Chapel Hill, NC, Nov 19-22, 2026)</t>
        </is>
      </c>
      <c r="B35" s="8" t="inlineStr"/>
      <c r="C35" s="8" t="inlineStr"/>
      <c r="D35" s="8" t="inlineStr"/>
      <c r="E35" s="8" t="inlineStr"/>
      <c r="F35" s="8" t="inlineStr"/>
    </row>
    <row r="36">
      <c r="A36" t="inlineStr">
        <is>
          <t xml:space="preserve">   Delegation fee</t>
        </is>
      </c>
      <c r="B36" t="inlineStr">
        <is>
          <t>flat</t>
        </is>
      </c>
      <c r="C36" t="inlineStr">
        <is>
          <t>$100 USD</t>
        </is>
      </c>
      <c r="D36" t="inlineStr">
        <is>
          <t>1</t>
        </is>
      </c>
      <c r="E36" t="inlineStr">
        <is>
          <t>$100</t>
        </is>
      </c>
      <c r="F36" t="inlineStr">
        <is>
          <t>$139</t>
        </is>
      </c>
    </row>
    <row r="37">
      <c r="A37" t="inlineStr">
        <is>
          <t xml:space="preserve">   Delegate fees</t>
        </is>
      </c>
      <c r="B37" t="inlineStr">
        <is>
          <t>8 billable</t>
        </is>
      </c>
      <c r="C37" t="inlineStr">
        <is>
          <t>$105 USD</t>
        </is>
      </c>
      <c r="D37" t="inlineStr">
        <is>
          <t>8</t>
        </is>
      </c>
      <c r="E37" t="inlineStr">
        <is>
          <t>$840</t>
        </is>
      </c>
      <c r="F37" t="inlineStr">
        <is>
          <t>$1,168</t>
        </is>
      </c>
    </row>
    <row r="38">
      <c r="A38" t="inlineStr">
        <is>
          <t xml:space="preserve">   Hotel</t>
        </is>
      </c>
      <c r="B38" t="inlineStr">
        <is>
          <t>2 rms x 3 nts</t>
        </is>
      </c>
      <c r="C38" t="inlineStr">
        <is>
          <t>$140 USD</t>
        </is>
      </c>
      <c r="D38" t="inlineStr">
        <is>
          <t>6</t>
        </is>
      </c>
      <c r="E38" t="inlineStr">
        <is>
          <t>$840</t>
        </is>
      </c>
      <c r="F38" t="inlineStr">
        <is>
          <t>$1,168</t>
        </is>
      </c>
    </row>
    <row r="39">
      <c r="A39" t="inlineStr">
        <is>
          <t xml:space="preserve">   Flights (RT YYZ)</t>
        </is>
      </c>
      <c r="B39" t="inlineStr">
        <is>
          <t>8 delegates</t>
        </is>
      </c>
      <c r="C39" t="inlineStr">
        <is>
          <t>$425 USD</t>
        </is>
      </c>
      <c r="D39" t="inlineStr">
        <is>
          <t>8</t>
        </is>
      </c>
      <c r="E39" t="inlineStr">
        <is>
          <t>$3,400</t>
        </is>
      </c>
      <c r="F39" t="inlineStr">
        <is>
          <t>$4,726</t>
        </is>
      </c>
    </row>
    <row r="40">
      <c r="A40" t="inlineStr">
        <is>
          <t xml:space="preserve">   Ground (KGN&lt;&gt;YYZ + xfer)</t>
        </is>
      </c>
      <c r="B40" t="inlineStr">
        <is>
          <t>flat</t>
        </is>
      </c>
      <c r="C40" t="inlineStr">
        <is>
          <t>—</t>
        </is>
      </c>
      <c r="D40" t="inlineStr">
        <is>
          <t>—</t>
        </is>
      </c>
      <c r="E40" t="inlineStr">
        <is>
          <t>~$612</t>
        </is>
      </c>
      <c r="F40" t="inlineStr">
        <is>
          <t>$850</t>
        </is>
      </c>
    </row>
    <row r="41">
      <c r="A41" s="2" t="inlineStr">
        <is>
          <t xml:space="preserve">   Subtotal</t>
        </is>
      </c>
      <c r="B41" t="inlineStr"/>
      <c r="C41" t="inlineStr"/>
      <c r="D41" t="inlineStr"/>
      <c r="E41" t="inlineStr">
        <is>
          <t>$5,792</t>
        </is>
      </c>
      <c r="F41" t="inlineStr">
        <is>
          <t>$8,050</t>
        </is>
      </c>
    </row>
    <row r="42">
      <c r="A42" s="2" t="inlineStr">
        <is>
          <t xml:space="preserve">   Contingency 10%</t>
        </is>
      </c>
      <c r="B42" t="inlineStr"/>
      <c r="C42" t="inlineStr"/>
      <c r="D42" t="inlineStr"/>
      <c r="E42" t="inlineStr">
        <is>
          <t>$579</t>
        </is>
      </c>
      <c r="F42" t="inlineStr">
        <is>
          <t>$805</t>
        </is>
      </c>
    </row>
    <row r="43">
      <c r="A43" s="13" t="inlineStr">
        <is>
          <t xml:space="preserve">   TOTAL – UNCMUNC – UNC (FLY, 8 del)</t>
        </is>
      </c>
      <c r="B43" s="14" t="inlineStr"/>
      <c r="C43" s="14" t="inlineStr"/>
      <c r="D43" s="14" t="inlineStr"/>
      <c r="E43" s="14" t="inlineStr">
        <is>
          <t>$6,371</t>
        </is>
      </c>
      <c r="F43" s="14" t="inlineStr">
        <is>
          <t>$8,855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s="15" t="inlineStr">
        <is>
          <t>▼ McMUN – McGill  (Montreal, QC, Jan 28-31, 2027)  [FIXED 20 DEL]</t>
        </is>
      </c>
      <c r="B45" s="15" t="inlineStr"/>
      <c r="C45" s="15" t="inlineStr"/>
      <c r="D45" s="15" t="inlineStr"/>
      <c r="E45" s="15" t="inlineStr"/>
      <c r="F45" s="15" t="inlineStr"/>
    </row>
    <row r="46">
      <c r="A46" t="inlineStr">
        <is>
          <t xml:space="preserve">   Delegation fee</t>
        </is>
      </c>
      <c r="B46" t="inlineStr">
        <is>
          <t>flat</t>
        </is>
      </c>
      <c r="C46" t="inlineStr">
        <is>
          <t>$80 CAD</t>
        </is>
      </c>
      <c r="D46" t="inlineStr">
        <is>
          <t>1</t>
        </is>
      </c>
      <c r="E46" t="inlineStr">
        <is>
          <t>$58</t>
        </is>
      </c>
      <c r="F46" t="inlineStr">
        <is>
          <t>$80</t>
        </is>
      </c>
    </row>
    <row r="47">
      <c r="A47" t="inlineStr">
        <is>
          <t xml:space="preserve">   Delegate fees</t>
        </is>
      </c>
      <c r="B47" t="inlineStr">
        <is>
          <t>20 billable</t>
        </is>
      </c>
      <c r="C47" t="inlineStr">
        <is>
          <t>$125 CAD</t>
        </is>
      </c>
      <c r="D47" t="inlineStr">
        <is>
          <t>20</t>
        </is>
      </c>
      <c r="E47" t="inlineStr">
        <is>
          <t>$1,799</t>
        </is>
      </c>
      <c r="F47" t="inlineStr">
        <is>
          <t>$2,500</t>
        </is>
      </c>
    </row>
    <row r="48">
      <c r="A48" t="inlineStr">
        <is>
          <t xml:space="preserve">   Hotel</t>
        </is>
      </c>
      <c r="B48" t="inlineStr">
        <is>
          <t>5 rms x 3 nts</t>
        </is>
      </c>
      <c r="C48" t="inlineStr">
        <is>
          <t>$234 CAD</t>
        </is>
      </c>
      <c r="D48" t="inlineStr">
        <is>
          <t>15</t>
        </is>
      </c>
      <c r="E48" t="inlineStr">
        <is>
          <t>$2,525</t>
        </is>
      </c>
      <c r="F48" t="inlineStr">
        <is>
          <t>$3,510</t>
        </is>
      </c>
    </row>
    <row r="49">
      <c r="A49" t="inlineStr">
        <is>
          <t xml:space="preserve">   Megabus RT (Kingston&lt;&gt;Montreal)</t>
        </is>
      </c>
      <c r="B49" t="inlineStr">
        <is>
          <t>20 delegates</t>
        </is>
      </c>
      <c r="C49" t="inlineStr">
        <is>
          <t>$110 CAD</t>
        </is>
      </c>
      <c r="D49" t="inlineStr">
        <is>
          <t>20</t>
        </is>
      </c>
      <c r="E49" t="inlineStr">
        <is>
          <t>$1,583</t>
        </is>
      </c>
      <c r="F49" t="inlineStr">
        <is>
          <t>$2,200</t>
        </is>
      </c>
    </row>
    <row r="50">
      <c r="A50" s="2" t="inlineStr">
        <is>
          <t xml:space="preserve">   Subtotal</t>
        </is>
      </c>
      <c r="B50" t="inlineStr"/>
      <c r="C50" t="inlineStr"/>
      <c r="D50" t="inlineStr"/>
      <c r="E50" t="inlineStr">
        <is>
          <t>$5,964</t>
        </is>
      </c>
      <c r="F50" t="inlineStr">
        <is>
          <t>$8,290</t>
        </is>
      </c>
    </row>
    <row r="51">
      <c r="A51" s="2" t="inlineStr">
        <is>
          <t xml:space="preserve">   Contingency 10%</t>
        </is>
      </c>
      <c r="B51" t="inlineStr"/>
      <c r="C51" t="inlineStr"/>
      <c r="D51" t="inlineStr"/>
      <c r="E51" t="inlineStr">
        <is>
          <t>$596</t>
        </is>
      </c>
      <c r="F51" t="inlineStr">
        <is>
          <t>$829</t>
        </is>
      </c>
    </row>
    <row r="52">
      <c r="A52" s="13" t="inlineStr">
        <is>
          <t xml:space="preserve">   TOTAL – McMUN – McGill (BUS, 20 del)</t>
        </is>
      </c>
      <c r="B52" s="14" t="inlineStr"/>
      <c r="C52" s="14" t="inlineStr"/>
      <c r="D52" s="14" t="inlineStr"/>
      <c r="E52" s="14" t="inlineStr">
        <is>
          <t>$6,560</t>
        </is>
      </c>
      <c r="F52" s="14" t="inlineStr">
        <is>
          <t>$9,119</t>
        </is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s="8" t="inlineStr">
        <is>
          <t>▼ BUCKMUN – Ohio State  (Columbus, OH, Feb 4-7, 2027)</t>
        </is>
      </c>
      <c r="B54" s="8" t="inlineStr"/>
      <c r="C54" s="8" t="inlineStr"/>
      <c r="D54" s="8" t="inlineStr"/>
      <c r="E54" s="8" t="inlineStr"/>
      <c r="F54" s="8" t="inlineStr"/>
    </row>
    <row r="55">
      <c r="A55" t="inlineStr">
        <is>
          <t xml:space="preserve">   Delegation fee</t>
        </is>
      </c>
      <c r="B55" t="inlineStr">
        <is>
          <t>flat</t>
        </is>
      </c>
      <c r="C55" t="inlineStr">
        <is>
          <t>$75 USD</t>
        </is>
      </c>
      <c r="D55" t="inlineStr">
        <is>
          <t>1</t>
        </is>
      </c>
      <c r="E55" t="inlineStr">
        <is>
          <t>$75</t>
        </is>
      </c>
      <c r="F55" t="inlineStr">
        <is>
          <t>$104</t>
        </is>
      </c>
    </row>
    <row r="56">
      <c r="A56" t="inlineStr">
        <is>
          <t xml:space="preserve">   Delegate fees</t>
        </is>
      </c>
      <c r="B56" t="inlineStr">
        <is>
          <t>8 billable</t>
        </is>
      </c>
      <c r="C56" t="inlineStr">
        <is>
          <t>$75 USD</t>
        </is>
      </c>
      <c r="D56" t="inlineStr">
        <is>
          <t>8</t>
        </is>
      </c>
      <c r="E56" t="inlineStr">
        <is>
          <t>$600</t>
        </is>
      </c>
      <c r="F56" t="inlineStr">
        <is>
          <t>$834</t>
        </is>
      </c>
    </row>
    <row r="57">
      <c r="A57" t="inlineStr">
        <is>
          <t xml:space="preserve">   Hotel</t>
        </is>
      </c>
      <c r="B57" t="inlineStr">
        <is>
          <t>2 rms x 3 nts</t>
        </is>
      </c>
      <c r="C57" t="inlineStr">
        <is>
          <t>$150 USD</t>
        </is>
      </c>
      <c r="D57" t="inlineStr">
        <is>
          <t>6</t>
        </is>
      </c>
      <c r="E57" t="inlineStr">
        <is>
          <t>$900</t>
        </is>
      </c>
      <c r="F57" t="inlineStr">
        <is>
          <t>$1,251</t>
        </is>
      </c>
    </row>
    <row r="58">
      <c r="A58" t="inlineStr">
        <is>
          <t xml:space="preserve">   Communauto Value+LongDist</t>
        </is>
      </c>
      <c r="B58" t="inlineStr">
        <is>
          <t>2 cars x $695/car</t>
        </is>
      </c>
      <c r="C58" t="inlineStr">
        <is>
          <t>gas incl</t>
        </is>
      </c>
      <c r="D58" t="inlineStr">
        <is>
          <t>2</t>
        </is>
      </c>
      <c r="E58" t="inlineStr">
        <is>
          <t>—</t>
        </is>
      </c>
      <c r="F58" t="inlineStr">
        <is>
          <t>$1,391</t>
        </is>
      </c>
    </row>
    <row r="59">
      <c r="A59" s="2" t="inlineStr">
        <is>
          <t xml:space="preserve">      (per car: $194 time + $391 km + $30 dmg, x13% HST)</t>
        </is>
      </c>
      <c r="B59" t="inlineStr"/>
      <c r="C59" t="inlineStr"/>
      <c r="D59" t="inlineStr"/>
      <c r="E59" t="inlineStr"/>
      <c r="F59" t="inlineStr"/>
    </row>
    <row r="60">
      <c r="A60" s="2" t="inlineStr">
        <is>
          <t xml:space="preserve">   Subtotal</t>
        </is>
      </c>
      <c r="B60" t="inlineStr"/>
      <c r="C60" t="inlineStr"/>
      <c r="D60" t="inlineStr"/>
      <c r="E60" t="inlineStr">
        <is>
          <t>$2,576</t>
        </is>
      </c>
      <c r="F60" t="inlineStr">
        <is>
          <t>$3,580</t>
        </is>
      </c>
    </row>
    <row r="61">
      <c r="A61" s="2" t="inlineStr">
        <is>
          <t xml:space="preserve">   Contingency 10%</t>
        </is>
      </c>
      <c r="B61" t="inlineStr"/>
      <c r="C61" t="inlineStr"/>
      <c r="D61" t="inlineStr"/>
      <c r="E61" t="inlineStr">
        <is>
          <t>$258</t>
        </is>
      </c>
      <c r="F61" t="inlineStr">
        <is>
          <t>$358</t>
        </is>
      </c>
    </row>
    <row r="62">
      <c r="A62" s="13" t="inlineStr">
        <is>
          <t xml:space="preserve">   TOTAL – BUCKMUN – Ohio State (DRIVE, 8 del)</t>
        </is>
      </c>
      <c r="B62" s="14" t="inlineStr"/>
      <c r="C62" s="14" t="inlineStr"/>
      <c r="D62" s="14" t="inlineStr"/>
      <c r="E62" s="14" t="inlineStr">
        <is>
          <t>$2,833</t>
        </is>
      </c>
      <c r="F62" s="14" t="inlineStr">
        <is>
          <t>$3,938</t>
        </is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s="15" t="inlineStr">
        <is>
          <t>▼ ConMUN – Concordia  (Montreal, QC, ~Mar 11-14, 2027)  [FIXED 20 DEL]</t>
        </is>
      </c>
      <c r="B64" s="15" t="inlineStr"/>
      <c r="C64" s="15" t="inlineStr"/>
      <c r="D64" s="15" t="inlineStr"/>
      <c r="E64" s="15" t="inlineStr"/>
      <c r="F64" s="15" t="inlineStr"/>
    </row>
    <row r="65">
      <c r="A65" t="inlineStr">
        <is>
          <t xml:space="preserve">   Delegation fee</t>
        </is>
      </c>
      <c r="B65" t="inlineStr">
        <is>
          <t>flat</t>
        </is>
      </c>
      <c r="C65" t="inlineStr">
        <is>
          <t>$100 CAD</t>
        </is>
      </c>
      <c r="D65" t="inlineStr">
        <is>
          <t>1</t>
        </is>
      </c>
      <c r="E65" t="inlineStr">
        <is>
          <t>$72</t>
        </is>
      </c>
      <c r="F65" t="inlineStr">
        <is>
          <t>$100</t>
        </is>
      </c>
    </row>
    <row r="66">
      <c r="A66" t="inlineStr">
        <is>
          <t xml:space="preserve">   Delegate fees</t>
        </is>
      </c>
      <c r="B66" t="inlineStr">
        <is>
          <t>20 billable</t>
        </is>
      </c>
      <c r="C66" t="inlineStr">
        <is>
          <t>$125 CAD</t>
        </is>
      </c>
      <c r="D66" t="inlineStr">
        <is>
          <t>20</t>
        </is>
      </c>
      <c r="E66" t="inlineStr">
        <is>
          <t>$1,799</t>
        </is>
      </c>
      <c r="F66" t="inlineStr">
        <is>
          <t>$2,500</t>
        </is>
      </c>
    </row>
    <row r="67">
      <c r="A67" t="inlineStr">
        <is>
          <t xml:space="preserve">   Hotel</t>
        </is>
      </c>
      <c r="B67" t="inlineStr">
        <is>
          <t>5 rms x 3 nts</t>
        </is>
      </c>
      <c r="C67" t="inlineStr">
        <is>
          <t>$229 CAD</t>
        </is>
      </c>
      <c r="D67" t="inlineStr">
        <is>
          <t>15</t>
        </is>
      </c>
      <c r="E67" t="inlineStr">
        <is>
          <t>$2,471</t>
        </is>
      </c>
      <c r="F67" t="inlineStr">
        <is>
          <t>$3,435</t>
        </is>
      </c>
    </row>
    <row r="68">
      <c r="A68" t="inlineStr">
        <is>
          <t xml:space="preserve">   Megabus RT (Kingston&lt;&gt;Montreal)</t>
        </is>
      </c>
      <c r="B68" t="inlineStr">
        <is>
          <t>20 delegates</t>
        </is>
      </c>
      <c r="C68" t="inlineStr">
        <is>
          <t>$110 CAD</t>
        </is>
      </c>
      <c r="D68" t="inlineStr">
        <is>
          <t>20</t>
        </is>
      </c>
      <c r="E68" t="inlineStr">
        <is>
          <t>$1,583</t>
        </is>
      </c>
      <c r="F68" t="inlineStr">
        <is>
          <t>$2,200</t>
        </is>
      </c>
    </row>
    <row r="69">
      <c r="A69" s="2" t="inlineStr">
        <is>
          <t xml:space="preserve">   Subtotal</t>
        </is>
      </c>
      <c r="B69" t="inlineStr"/>
      <c r="C69" t="inlineStr"/>
      <c r="D69" t="inlineStr"/>
      <c r="E69" t="inlineStr">
        <is>
          <t>$5,924</t>
        </is>
      </c>
      <c r="F69" t="inlineStr">
        <is>
          <t>$8,235</t>
        </is>
      </c>
    </row>
    <row r="70">
      <c r="A70" s="2" t="inlineStr">
        <is>
          <t xml:space="preserve">   Contingency 10%</t>
        </is>
      </c>
      <c r="B70" t="inlineStr"/>
      <c r="C70" t="inlineStr"/>
      <c r="D70" t="inlineStr"/>
      <c r="E70" t="inlineStr">
        <is>
          <t>$592</t>
        </is>
      </c>
      <c r="F70" t="inlineStr">
        <is>
          <t>$824</t>
        </is>
      </c>
    </row>
    <row r="71">
      <c r="A71" s="13" t="inlineStr">
        <is>
          <t xml:space="preserve">   TOTAL – ConMUN – Concordia (BUS, 20 del)</t>
        </is>
      </c>
      <c r="B71" s="14" t="inlineStr"/>
      <c r="C71" s="14" t="inlineStr"/>
      <c r="D71" s="14" t="inlineStr"/>
      <c r="E71" s="14" t="inlineStr">
        <is>
          <t>$6,517</t>
        </is>
      </c>
      <c r="F71" s="14" t="inlineStr">
        <is>
          <t>$9,058</t>
        </is>
      </c>
    </row>
    <row r="72">
      <c r="A72" t="inlineStr"/>
      <c r="B72" t="inlineStr"/>
      <c r="C72" t="inlineStr"/>
      <c r="D72" t="inlineStr"/>
      <c r="E72" t="inlineStr"/>
      <c r="F72" t="inlineStr"/>
    </row>
    <row r="73">
      <c r="A73" s="8" t="inlineStr">
        <is>
          <t>▼ ChoMUN – UChicago  (Chicago, IL, Mar 25-28, 2027)</t>
        </is>
      </c>
      <c r="B73" s="8" t="inlineStr"/>
      <c r="C73" s="8" t="inlineStr"/>
      <c r="D73" s="8" t="inlineStr"/>
      <c r="E73" s="8" t="inlineStr"/>
      <c r="F73" s="8" t="inlineStr"/>
    </row>
    <row r="74">
      <c r="A74" t="inlineStr">
        <is>
          <t xml:space="preserve">   Delegation fee</t>
        </is>
      </c>
      <c r="B74" t="inlineStr">
        <is>
          <t>flat</t>
        </is>
      </c>
      <c r="C74" t="inlineStr">
        <is>
          <t>$50 USD</t>
        </is>
      </c>
      <c r="D74" t="inlineStr">
        <is>
          <t>1</t>
        </is>
      </c>
      <c r="E74" t="inlineStr">
        <is>
          <t>$50</t>
        </is>
      </c>
      <c r="F74" t="inlineStr">
        <is>
          <t>$70</t>
        </is>
      </c>
    </row>
    <row r="75">
      <c r="A75" t="inlineStr">
        <is>
          <t xml:space="preserve">   Delegate fees</t>
        </is>
      </c>
      <c r="B75" t="inlineStr">
        <is>
          <t>8 billable</t>
        </is>
      </c>
      <c r="C75" t="inlineStr">
        <is>
          <t>$110 USD</t>
        </is>
      </c>
      <c r="D75" t="inlineStr">
        <is>
          <t>8</t>
        </is>
      </c>
      <c r="E75" t="inlineStr">
        <is>
          <t>$880</t>
        </is>
      </c>
      <c r="F75" t="inlineStr">
        <is>
          <t>$1,223</t>
        </is>
      </c>
    </row>
    <row r="76">
      <c r="A76" t="inlineStr">
        <is>
          <t xml:space="preserve">   Hotel</t>
        </is>
      </c>
      <c r="B76" t="inlineStr">
        <is>
          <t>2 rms x 3 nts</t>
        </is>
      </c>
      <c r="C76" t="inlineStr">
        <is>
          <t>$201 USD</t>
        </is>
      </c>
      <c r="D76" t="inlineStr">
        <is>
          <t>6</t>
        </is>
      </c>
      <c r="E76" t="inlineStr">
        <is>
          <t>$1,206</t>
        </is>
      </c>
      <c r="F76" t="inlineStr">
        <is>
          <t>$1,676</t>
        </is>
      </c>
    </row>
    <row r="77">
      <c r="A77" t="inlineStr">
        <is>
          <t xml:space="preserve">   Communauto Value+LongDist</t>
        </is>
      </c>
      <c r="B77" t="inlineStr">
        <is>
          <t>2 cars x $754/car</t>
        </is>
      </c>
      <c r="C77" t="inlineStr">
        <is>
          <t>gas incl</t>
        </is>
      </c>
      <c r="D77" t="inlineStr">
        <is>
          <t>2</t>
        </is>
      </c>
      <c r="E77" t="inlineStr">
        <is>
          <t>—</t>
        </is>
      </c>
      <c r="F77" t="inlineStr">
        <is>
          <t>$1,508</t>
        </is>
      </c>
    </row>
    <row r="78">
      <c r="A78" s="2" t="inlineStr">
        <is>
          <t xml:space="preserve">      (per car: $194 time + $443 km + $30 dmg, x13% HST)</t>
        </is>
      </c>
      <c r="B78" t="inlineStr"/>
      <c r="C78" t="inlineStr"/>
      <c r="D78" t="inlineStr"/>
      <c r="E78" t="inlineStr"/>
      <c r="F78" t="inlineStr"/>
    </row>
    <row r="79">
      <c r="A79" s="2" t="inlineStr">
        <is>
          <t xml:space="preserve">   Subtotal</t>
        </is>
      </c>
      <c r="B79" t="inlineStr"/>
      <c r="C79" t="inlineStr"/>
      <c r="D79" t="inlineStr"/>
      <c r="E79" t="inlineStr">
        <is>
          <t>$3,221</t>
        </is>
      </c>
      <c r="F79" t="inlineStr">
        <is>
          <t>$4,477</t>
        </is>
      </c>
    </row>
    <row r="80">
      <c r="A80" s="2" t="inlineStr">
        <is>
          <t xml:space="preserve">   Contingency 10%</t>
        </is>
      </c>
      <c r="B80" t="inlineStr"/>
      <c r="C80" t="inlineStr"/>
      <c r="D80" t="inlineStr"/>
      <c r="E80" t="inlineStr">
        <is>
          <t>$322</t>
        </is>
      </c>
      <c r="F80" t="inlineStr">
        <is>
          <t>$448</t>
        </is>
      </c>
    </row>
    <row r="81">
      <c r="A81" s="13" t="inlineStr">
        <is>
          <t xml:space="preserve">   TOTAL – ChoMUN – UChicago (DRIVE, 8 del)</t>
        </is>
      </c>
      <c r="B81" s="14" t="inlineStr"/>
      <c r="C81" s="14" t="inlineStr"/>
      <c r="D81" s="14" t="inlineStr"/>
      <c r="E81" s="14" t="inlineStr">
        <is>
          <t>$3,543</t>
        </is>
      </c>
      <c r="F81" s="14" t="inlineStr">
        <is>
          <t>$4,925</t>
        </is>
      </c>
    </row>
    <row r="82">
      <c r="A82" t="inlineStr"/>
      <c r="B82" t="inlineStr"/>
      <c r="C82" t="inlineStr"/>
      <c r="D82" t="inlineStr"/>
      <c r="E82" t="inlineStr"/>
      <c r="F82" t="inlineStr"/>
    </row>
    <row r="83">
      <c r="A83" s="8" t="inlineStr">
        <is>
          <t>▼ VICS – UVA  (Charlottesville, VA, ~Mar 25-28, 2027)</t>
        </is>
      </c>
      <c r="B83" s="8" t="inlineStr"/>
      <c r="C83" s="8" t="inlineStr"/>
      <c r="D83" s="8" t="inlineStr"/>
      <c r="E83" s="8" t="inlineStr"/>
      <c r="F83" s="8" t="inlineStr"/>
    </row>
    <row r="84">
      <c r="A84" t="inlineStr">
        <is>
          <t xml:space="preserve">   Delegation fee</t>
        </is>
      </c>
      <c r="B84" t="inlineStr">
        <is>
          <t>flat</t>
        </is>
      </c>
      <c r="C84" t="inlineStr">
        <is>
          <t>$85 USD</t>
        </is>
      </c>
      <c r="D84" t="inlineStr">
        <is>
          <t>1</t>
        </is>
      </c>
      <c r="E84" t="inlineStr">
        <is>
          <t>$85</t>
        </is>
      </c>
      <c r="F84" t="inlineStr">
        <is>
          <t>$118</t>
        </is>
      </c>
    </row>
    <row r="85">
      <c r="A85" t="inlineStr">
        <is>
          <t xml:space="preserve">   Delegate fees</t>
        </is>
      </c>
      <c r="B85" t="inlineStr">
        <is>
          <t>8 billable</t>
        </is>
      </c>
      <c r="C85" t="inlineStr">
        <is>
          <t>$105 USD</t>
        </is>
      </c>
      <c r="D85" t="inlineStr">
        <is>
          <t>8</t>
        </is>
      </c>
      <c r="E85" t="inlineStr">
        <is>
          <t>$840</t>
        </is>
      </c>
      <c r="F85" t="inlineStr">
        <is>
          <t>$1,168</t>
        </is>
      </c>
    </row>
    <row r="86">
      <c r="A86" t="inlineStr">
        <is>
          <t xml:space="preserve">   Hotel</t>
        </is>
      </c>
      <c r="B86" t="inlineStr">
        <is>
          <t>2 rms x 3 nts</t>
        </is>
      </c>
      <c r="C86" t="inlineStr">
        <is>
          <t>$189 USD</t>
        </is>
      </c>
      <c r="D86" t="inlineStr">
        <is>
          <t>6</t>
        </is>
      </c>
      <c r="E86" t="inlineStr">
        <is>
          <t>$1,134</t>
        </is>
      </c>
      <c r="F86" t="inlineStr">
        <is>
          <t>$1,576</t>
        </is>
      </c>
    </row>
    <row r="87">
      <c r="A87" t="inlineStr">
        <is>
          <t xml:space="preserve">   Communauto Value+LongDist</t>
        </is>
      </c>
      <c r="B87" t="inlineStr">
        <is>
          <t>2 cars x $716/car</t>
        </is>
      </c>
      <c r="C87" t="inlineStr">
        <is>
          <t>gas incl</t>
        </is>
      </c>
      <c r="D87" t="inlineStr">
        <is>
          <t>2</t>
        </is>
      </c>
      <c r="E87" t="inlineStr">
        <is>
          <t>—</t>
        </is>
      </c>
      <c r="F87" t="inlineStr">
        <is>
          <t>$1,433</t>
        </is>
      </c>
    </row>
    <row r="88">
      <c r="A88" s="2" t="inlineStr">
        <is>
          <t xml:space="preserve">      (per car: $194 time + $410 km + $30 dmg, x13% HST)</t>
        </is>
      </c>
      <c r="B88" t="inlineStr"/>
      <c r="C88" t="inlineStr"/>
      <c r="D88" t="inlineStr"/>
      <c r="E88" t="inlineStr"/>
      <c r="F88" t="inlineStr"/>
    </row>
    <row r="89">
      <c r="A89" s="2" t="inlineStr">
        <is>
          <t xml:space="preserve">   Subtotal</t>
        </is>
      </c>
      <c r="B89" t="inlineStr"/>
      <c r="C89" t="inlineStr"/>
      <c r="D89" t="inlineStr"/>
      <c r="E89" t="inlineStr">
        <is>
          <t>$3,090</t>
        </is>
      </c>
      <c r="F89" t="inlineStr">
        <is>
          <t>$4,295</t>
        </is>
      </c>
    </row>
    <row r="90">
      <c r="A90" s="2" t="inlineStr">
        <is>
          <t xml:space="preserve">   Contingency 10%</t>
        </is>
      </c>
      <c r="B90" t="inlineStr"/>
      <c r="C90" t="inlineStr"/>
      <c r="D90" t="inlineStr"/>
      <c r="E90" t="inlineStr">
        <is>
          <t>$309</t>
        </is>
      </c>
      <c r="F90" t="inlineStr">
        <is>
          <t>$429</t>
        </is>
      </c>
    </row>
    <row r="91">
      <c r="A91" s="13" t="inlineStr">
        <is>
          <t xml:space="preserve">   TOTAL – VICS – UVA (DRIVE, 8 del)</t>
        </is>
      </c>
      <c r="B91" s="14" t="inlineStr"/>
      <c r="C91" s="14" t="inlineStr"/>
      <c r="D91" s="14" t="inlineStr"/>
      <c r="E91" s="14" t="inlineStr">
        <is>
          <t>$3,399</t>
        </is>
      </c>
      <c r="F91" s="14" t="inlineStr">
        <is>
          <t>$4,724</t>
        </is>
      </c>
    </row>
    <row r="92">
      <c r="A92" t="inlineStr"/>
      <c r="B92" t="inlineStr"/>
      <c r="C92" t="inlineStr"/>
      <c r="D92" t="inlineStr"/>
      <c r="E92" t="inlineStr"/>
      <c r="F92" t="inlineStr"/>
    </row>
    <row r="93">
      <c r="A93" s="2" t="inlineStr">
        <is>
          <t>+ Communauto Value subscriptions (3 accts x $60/yr)</t>
        </is>
      </c>
      <c r="B93" t="inlineStr"/>
      <c r="C93" t="inlineStr"/>
      <c r="D93" t="inlineStr"/>
      <c r="E93" t="inlineStr">
        <is>
          <t>$129</t>
        </is>
      </c>
      <c r="F93" t="inlineStr">
        <is>
          <t>$180</t>
        </is>
      </c>
    </row>
    <row r="94">
      <c r="A94" s="9" t="inlineStr">
        <is>
          <t>PROGRAM TOTAL – 8-del scenario</t>
        </is>
      </c>
      <c r="B94" s="9" t="inlineStr"/>
      <c r="C94" s="9" t="inlineStr"/>
      <c r="D94" s="9" t="inlineStr"/>
      <c r="E94" s="9" t="inlineStr">
        <is>
          <t>$39,424</t>
        </is>
      </c>
      <c r="F94" s="9" t="inlineStr">
        <is>
          <t>$54,800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8" customWidth="1" min="4" max="4"/>
    <col width="13" customWidth="1" min="5" max="5"/>
    <col width="13" customWidth="1" min="6" max="6"/>
  </cols>
  <sheetData>
    <row r="1">
      <c r="A1" s="11" t="inlineStr">
        <is>
          <t>LINE-ITEM DETAIL – 12-delegate scenario (Montreal confs fixed at 20)</t>
        </is>
      </c>
    </row>
    <row r="2">
      <c r="A2" s="2" t="inlineStr">
        <is>
          <t>US confs USD&gt;CAD @1.39. Montreal confs CAD-native (USD col = equiv). Communauto/Megabus native CAD, incl tax.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12" t="inlineStr">
        <is>
          <t>Conference / Line item</t>
        </is>
      </c>
      <c r="B4" s="12" t="inlineStr">
        <is>
          <t>Basis</t>
        </is>
      </c>
      <c r="C4" s="12" t="inlineStr">
        <is>
          <t>Rate</t>
        </is>
      </c>
      <c r="D4" s="12" t="inlineStr">
        <is>
          <t>Qty</t>
        </is>
      </c>
      <c r="E4" s="12" t="inlineStr">
        <is>
          <t>USD</t>
        </is>
      </c>
      <c r="F4" s="12" t="inlineStr">
        <is>
          <t>CAD</t>
        </is>
      </c>
    </row>
    <row r="5">
      <c r="A5" s="8" t="inlineStr">
        <is>
          <t>▼ UPMUNC – Penn  (Philadelphia, PA, Oct 15-18, 2026)</t>
        </is>
      </c>
      <c r="B5" s="8" t="inlineStr"/>
      <c r="C5" s="8" t="inlineStr"/>
      <c r="D5" s="8" t="inlineStr"/>
      <c r="E5" s="8" t="inlineStr"/>
      <c r="F5" s="8" t="inlineStr"/>
    </row>
    <row r="6">
      <c r="A6" t="inlineStr">
        <is>
          <t xml:space="preserve">   Delegation fee</t>
        </is>
      </c>
      <c r="B6" t="inlineStr">
        <is>
          <t>flat</t>
        </is>
      </c>
      <c r="C6" t="inlineStr">
        <is>
          <t>$95 USD</t>
        </is>
      </c>
      <c r="D6" t="inlineStr">
        <is>
          <t>1</t>
        </is>
      </c>
      <c r="E6" t="inlineStr">
        <is>
          <t>$95</t>
        </is>
      </c>
      <c r="F6" t="inlineStr">
        <is>
          <t>$132</t>
        </is>
      </c>
    </row>
    <row r="7">
      <c r="A7" t="inlineStr">
        <is>
          <t xml:space="preserve">   Delegate fees</t>
        </is>
      </c>
      <c r="B7" t="inlineStr">
        <is>
          <t>12 billable</t>
        </is>
      </c>
      <c r="C7" t="inlineStr">
        <is>
          <t>$110 USD</t>
        </is>
      </c>
      <c r="D7" t="inlineStr">
        <is>
          <t>12</t>
        </is>
      </c>
      <c r="E7" t="inlineStr">
        <is>
          <t>$1,320</t>
        </is>
      </c>
      <c r="F7" t="inlineStr">
        <is>
          <t>$1,835</t>
        </is>
      </c>
    </row>
    <row r="8">
      <c r="A8" t="inlineStr">
        <is>
          <t xml:space="preserve">   Hotel</t>
        </is>
      </c>
      <c r="B8" t="inlineStr">
        <is>
          <t>3 rms x 3 nts</t>
        </is>
      </c>
      <c r="C8" t="inlineStr">
        <is>
          <t>$200 USD</t>
        </is>
      </c>
      <c r="D8" t="inlineStr">
        <is>
          <t>9</t>
        </is>
      </c>
      <c r="E8" t="inlineStr">
        <is>
          <t>$1,800</t>
        </is>
      </c>
      <c r="F8" t="inlineStr">
        <is>
          <t>$2,502</t>
        </is>
      </c>
    </row>
    <row r="9">
      <c r="A9" t="inlineStr">
        <is>
          <t xml:space="preserve">   Communauto Value+LongDist</t>
        </is>
      </c>
      <c r="B9" t="inlineStr">
        <is>
          <t>3 cars x $510/car</t>
        </is>
      </c>
      <c r="C9" t="inlineStr">
        <is>
          <t>gas incl</t>
        </is>
      </c>
      <c r="D9" t="inlineStr">
        <is>
          <t>3</t>
        </is>
      </c>
      <c r="E9" t="inlineStr">
        <is>
          <t>—</t>
        </is>
      </c>
      <c r="F9" t="inlineStr">
        <is>
          <t>$1,530</t>
        </is>
      </c>
    </row>
    <row r="10">
      <c r="A10" s="2" t="inlineStr">
        <is>
          <t xml:space="preserve">      (per car: $157 time + $264 km + $30 dmg, x13% HST)</t>
        </is>
      </c>
      <c r="B10" t="inlineStr"/>
      <c r="C10" t="inlineStr"/>
      <c r="D10" t="inlineStr"/>
      <c r="E10" t="inlineStr"/>
      <c r="F10" t="inlineStr"/>
    </row>
    <row r="11">
      <c r="A11" s="2" t="inlineStr">
        <is>
          <t xml:space="preserve">   Subtotal</t>
        </is>
      </c>
      <c r="B11" t="inlineStr"/>
      <c r="C11" t="inlineStr"/>
      <c r="D11" t="inlineStr"/>
      <c r="E11" t="inlineStr">
        <is>
          <t>$4,316</t>
        </is>
      </c>
      <c r="F11" t="inlineStr">
        <is>
          <t>$5,999</t>
        </is>
      </c>
    </row>
    <row r="12">
      <c r="A12" s="2" t="inlineStr">
        <is>
          <t xml:space="preserve">   Contingency 10%</t>
        </is>
      </c>
      <c r="B12" t="inlineStr"/>
      <c r="C12" t="inlineStr"/>
      <c r="D12" t="inlineStr"/>
      <c r="E12" t="inlineStr">
        <is>
          <t>$432</t>
        </is>
      </c>
      <c r="F12" t="inlineStr">
        <is>
          <t>$600</t>
        </is>
      </c>
    </row>
    <row r="13">
      <c r="A13" s="13" t="inlineStr">
        <is>
          <t xml:space="preserve">   TOTAL – UPMUNC – Penn (DRIVE, 12 del)</t>
        </is>
      </c>
      <c r="B13" s="14" t="inlineStr"/>
      <c r="C13" s="14" t="inlineStr"/>
      <c r="D13" s="14" t="inlineStr"/>
      <c r="E13" s="14" t="inlineStr">
        <is>
          <t>$4,748</t>
        </is>
      </c>
      <c r="F13" s="14" t="inlineStr">
        <is>
          <t>$6,599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8" t="inlineStr">
        <is>
          <t>▼ CIAC – Cornell  (Ithaca, NY, Oct 22-25, 2026)</t>
        </is>
      </c>
      <c r="B15" s="8" t="inlineStr"/>
      <c r="C15" s="8" t="inlineStr"/>
      <c r="D15" s="8" t="inlineStr"/>
      <c r="E15" s="8" t="inlineStr"/>
      <c r="F15" s="8" t="inlineStr"/>
    </row>
    <row r="16">
      <c r="A16" t="inlineStr">
        <is>
          <t xml:space="preserve">   Delegation fee</t>
        </is>
      </c>
      <c r="B16" t="inlineStr">
        <is>
          <t>flat</t>
        </is>
      </c>
      <c r="C16" t="inlineStr">
        <is>
          <t>$75 USD</t>
        </is>
      </c>
      <c r="D16" t="inlineStr">
        <is>
          <t>1</t>
        </is>
      </c>
      <c r="E16" t="inlineStr">
        <is>
          <t>$75</t>
        </is>
      </c>
      <c r="F16" t="inlineStr">
        <is>
          <t>$104</t>
        </is>
      </c>
    </row>
    <row r="17">
      <c r="A17" t="inlineStr">
        <is>
          <t xml:space="preserve">   Delegate fees (11+ free)</t>
        </is>
      </c>
      <c r="B17" t="inlineStr">
        <is>
          <t>10 billable</t>
        </is>
      </c>
      <c r="C17" t="inlineStr">
        <is>
          <t>$90 USD</t>
        </is>
      </c>
      <c r="D17" t="inlineStr">
        <is>
          <t>10</t>
        </is>
      </c>
      <c r="E17" t="inlineStr">
        <is>
          <t>$900</t>
        </is>
      </c>
      <c r="F17" t="inlineStr">
        <is>
          <t>$1,251</t>
        </is>
      </c>
    </row>
    <row r="18">
      <c r="A18" t="inlineStr">
        <is>
          <t xml:space="preserve">   Hotel</t>
        </is>
      </c>
      <c r="B18" t="inlineStr">
        <is>
          <t>3 rms x 3 nts</t>
        </is>
      </c>
      <c r="C18" t="inlineStr">
        <is>
          <t>$149 USD</t>
        </is>
      </c>
      <c r="D18" t="inlineStr">
        <is>
          <t>9</t>
        </is>
      </c>
      <c r="E18" t="inlineStr">
        <is>
          <t>$1,341</t>
        </is>
      </c>
      <c r="F18" t="inlineStr">
        <is>
          <t>$1,864</t>
        </is>
      </c>
    </row>
    <row r="19">
      <c r="A19" t="inlineStr">
        <is>
          <t xml:space="preserve">   Communauto Value+LongDist</t>
        </is>
      </c>
      <c r="B19" t="inlineStr">
        <is>
          <t>3 cars x $373/car</t>
        </is>
      </c>
      <c r="C19" t="inlineStr">
        <is>
          <t>gas incl</t>
        </is>
      </c>
      <c r="D19" t="inlineStr">
        <is>
          <t>3</t>
        </is>
      </c>
      <c r="E19" t="inlineStr">
        <is>
          <t>—</t>
        </is>
      </c>
      <c r="F19" t="inlineStr">
        <is>
          <t>$1,118</t>
        </is>
      </c>
    </row>
    <row r="20">
      <c r="A20" s="2" t="inlineStr">
        <is>
          <t xml:space="preserve">      (per car: $157 time + $143 km + $30 dmg, x13% HST)</t>
        </is>
      </c>
      <c r="B20" t="inlineStr"/>
      <c r="C20" t="inlineStr"/>
      <c r="D20" t="inlineStr"/>
      <c r="E20" t="inlineStr"/>
      <c r="F20" t="inlineStr"/>
    </row>
    <row r="21">
      <c r="A21" s="2" t="inlineStr">
        <is>
          <t xml:space="preserve">   Subtotal</t>
        </is>
      </c>
      <c r="B21" t="inlineStr"/>
      <c r="C21" t="inlineStr"/>
      <c r="D21" t="inlineStr"/>
      <c r="E21" t="inlineStr">
        <is>
          <t>$3,120</t>
        </is>
      </c>
      <c r="F21" t="inlineStr">
        <is>
          <t>$4,337</t>
        </is>
      </c>
    </row>
    <row r="22">
      <c r="A22" s="2" t="inlineStr">
        <is>
          <t xml:space="preserve">   Contingency 10%</t>
        </is>
      </c>
      <c r="B22" t="inlineStr"/>
      <c r="C22" t="inlineStr"/>
      <c r="D22" t="inlineStr"/>
      <c r="E22" t="inlineStr">
        <is>
          <t>$312</t>
        </is>
      </c>
      <c r="F22" t="inlineStr">
        <is>
          <t>$434</t>
        </is>
      </c>
    </row>
    <row r="23">
      <c r="A23" s="13" t="inlineStr">
        <is>
          <t xml:space="preserve">   TOTAL – CIAC – Cornell (DRIVE, 12 del)</t>
        </is>
      </c>
      <c r="B23" s="14" t="inlineStr"/>
      <c r="C23" s="14" t="inlineStr"/>
      <c r="D23" s="14" t="inlineStr"/>
      <c r="E23" s="14" t="inlineStr">
        <is>
          <t>$3,433</t>
        </is>
      </c>
      <c r="F23" s="14" t="inlineStr">
        <is>
          <t>$4,771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8" t="inlineStr">
        <is>
          <t>▼ NCSC – Georgetown  (Washington, DC, Nov 5-8, 2026)</t>
        </is>
      </c>
      <c r="B25" s="8" t="inlineStr"/>
      <c r="C25" s="8" t="inlineStr"/>
      <c r="D25" s="8" t="inlineStr"/>
      <c r="E25" s="8" t="inlineStr"/>
      <c r="F25" s="8" t="inlineStr"/>
    </row>
    <row r="26">
      <c r="A26" t="inlineStr">
        <is>
          <t xml:space="preserve">   Delegation fee</t>
        </is>
      </c>
      <c r="B26" t="inlineStr">
        <is>
          <t>flat</t>
        </is>
      </c>
      <c r="C26" t="inlineStr">
        <is>
          <t>$90 USD</t>
        </is>
      </c>
      <c r="D26" t="inlineStr">
        <is>
          <t>1</t>
        </is>
      </c>
      <c r="E26" t="inlineStr">
        <is>
          <t>$90</t>
        </is>
      </c>
      <c r="F26" t="inlineStr">
        <is>
          <t>$125</t>
        </is>
      </c>
    </row>
    <row r="27">
      <c r="A27" t="inlineStr">
        <is>
          <t xml:space="preserve">   Delegate fees</t>
        </is>
      </c>
      <c r="B27" t="inlineStr">
        <is>
          <t>12 billable</t>
        </is>
      </c>
      <c r="C27" t="inlineStr">
        <is>
          <t>$110 USD</t>
        </is>
      </c>
      <c r="D27" t="inlineStr">
        <is>
          <t>12</t>
        </is>
      </c>
      <c r="E27" t="inlineStr">
        <is>
          <t>$1,320</t>
        </is>
      </c>
      <c r="F27" t="inlineStr">
        <is>
          <t>$1,835</t>
        </is>
      </c>
    </row>
    <row r="28">
      <c r="A28" t="inlineStr">
        <is>
          <t xml:space="preserve">   Hotel</t>
        </is>
      </c>
      <c r="B28" t="inlineStr">
        <is>
          <t>3 rms x 3 nts</t>
        </is>
      </c>
      <c r="C28" t="inlineStr">
        <is>
          <t>$366 USD</t>
        </is>
      </c>
      <c r="D28" t="inlineStr">
        <is>
          <t>9</t>
        </is>
      </c>
      <c r="E28" t="inlineStr">
        <is>
          <t>$3,294</t>
        </is>
      </c>
      <c r="F28" t="inlineStr">
        <is>
          <t>$4,579</t>
        </is>
      </c>
    </row>
    <row r="29">
      <c r="A29" t="inlineStr">
        <is>
          <t xml:space="preserve">   Communauto Value+LongDist</t>
        </is>
      </c>
      <c r="B29" t="inlineStr">
        <is>
          <t>3 cars x $595/car</t>
        </is>
      </c>
      <c r="C29" t="inlineStr">
        <is>
          <t>gas incl</t>
        </is>
      </c>
      <c r="D29" t="inlineStr">
        <is>
          <t>3</t>
        </is>
      </c>
      <c r="E29" t="inlineStr">
        <is>
          <t>—</t>
        </is>
      </c>
      <c r="F29" t="inlineStr">
        <is>
          <t>$1,784</t>
        </is>
      </c>
    </row>
    <row r="30">
      <c r="A30" s="2" t="inlineStr">
        <is>
          <t xml:space="preserve">      (per car: $157 time + $339 km + $30 dmg, x13% HST)</t>
        </is>
      </c>
      <c r="B30" t="inlineStr"/>
      <c r="C30" t="inlineStr"/>
      <c r="D30" t="inlineStr"/>
      <c r="E30" t="inlineStr"/>
      <c r="F30" t="inlineStr"/>
    </row>
    <row r="31">
      <c r="A31" s="2" t="inlineStr">
        <is>
          <t xml:space="preserve">   Subtotal</t>
        </is>
      </c>
      <c r="B31" t="inlineStr"/>
      <c r="C31" t="inlineStr"/>
      <c r="D31" t="inlineStr"/>
      <c r="E31" t="inlineStr">
        <is>
          <t>$5,988</t>
        </is>
      </c>
      <c r="F31" t="inlineStr">
        <is>
          <t>$8,323</t>
        </is>
      </c>
    </row>
    <row r="32">
      <c r="A32" s="2" t="inlineStr">
        <is>
          <t xml:space="preserve">   Contingency 10%</t>
        </is>
      </c>
      <c r="B32" t="inlineStr"/>
      <c r="C32" t="inlineStr"/>
      <c r="D32" t="inlineStr"/>
      <c r="E32" t="inlineStr">
        <is>
          <t>$599</t>
        </is>
      </c>
      <c r="F32" t="inlineStr">
        <is>
          <t>$832</t>
        </is>
      </c>
    </row>
    <row r="33">
      <c r="A33" s="13" t="inlineStr">
        <is>
          <t xml:space="preserve">   TOTAL – NCSC – Georgetown (DRIVE, 12 del)</t>
        </is>
      </c>
      <c r="B33" s="14" t="inlineStr"/>
      <c r="C33" s="14" t="inlineStr"/>
      <c r="D33" s="14" t="inlineStr"/>
      <c r="E33" s="14" t="inlineStr">
        <is>
          <t>$6,586</t>
        </is>
      </c>
      <c r="F33" s="14" t="inlineStr">
        <is>
          <t>$9,155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s="8" t="inlineStr">
        <is>
          <t>▼ UNCMUNC – UNC  (Chapel Hill, NC, Nov 19-22, 2026)</t>
        </is>
      </c>
      <c r="B35" s="8" t="inlineStr"/>
      <c r="C35" s="8" t="inlineStr"/>
      <c r="D35" s="8" t="inlineStr"/>
      <c r="E35" s="8" t="inlineStr"/>
      <c r="F35" s="8" t="inlineStr"/>
    </row>
    <row r="36">
      <c r="A36" t="inlineStr">
        <is>
          <t xml:space="preserve">   Delegation fee</t>
        </is>
      </c>
      <c r="B36" t="inlineStr">
        <is>
          <t>flat</t>
        </is>
      </c>
      <c r="C36" t="inlineStr">
        <is>
          <t>$100 USD</t>
        </is>
      </c>
      <c r="D36" t="inlineStr">
        <is>
          <t>1</t>
        </is>
      </c>
      <c r="E36" t="inlineStr">
        <is>
          <t>$100</t>
        </is>
      </c>
      <c r="F36" t="inlineStr">
        <is>
          <t>$139</t>
        </is>
      </c>
    </row>
    <row r="37">
      <c r="A37" t="inlineStr">
        <is>
          <t xml:space="preserve">   Delegate fees</t>
        </is>
      </c>
      <c r="B37" t="inlineStr">
        <is>
          <t>12 billable</t>
        </is>
      </c>
      <c r="C37" t="inlineStr">
        <is>
          <t>$105 USD</t>
        </is>
      </c>
      <c r="D37" t="inlineStr">
        <is>
          <t>12</t>
        </is>
      </c>
      <c r="E37" t="inlineStr">
        <is>
          <t>$1,260</t>
        </is>
      </c>
      <c r="F37" t="inlineStr">
        <is>
          <t>$1,751</t>
        </is>
      </c>
    </row>
    <row r="38">
      <c r="A38" t="inlineStr">
        <is>
          <t xml:space="preserve">   Hotel</t>
        </is>
      </c>
      <c r="B38" t="inlineStr">
        <is>
          <t>3 rms x 3 nts</t>
        </is>
      </c>
      <c r="C38" t="inlineStr">
        <is>
          <t>$140 USD</t>
        </is>
      </c>
      <c r="D38" t="inlineStr">
        <is>
          <t>9</t>
        </is>
      </c>
      <c r="E38" t="inlineStr">
        <is>
          <t>$1,260</t>
        </is>
      </c>
      <c r="F38" t="inlineStr">
        <is>
          <t>$1,751</t>
        </is>
      </c>
    </row>
    <row r="39">
      <c r="A39" t="inlineStr">
        <is>
          <t xml:space="preserve">   Flights (RT YYZ)</t>
        </is>
      </c>
      <c r="B39" t="inlineStr">
        <is>
          <t>12 delegates</t>
        </is>
      </c>
      <c r="C39" t="inlineStr">
        <is>
          <t>$425 USD</t>
        </is>
      </c>
      <c r="D39" t="inlineStr">
        <is>
          <t>12</t>
        </is>
      </c>
      <c r="E39" t="inlineStr">
        <is>
          <t>$5,100</t>
        </is>
      </c>
      <c r="F39" t="inlineStr">
        <is>
          <t>$7,089</t>
        </is>
      </c>
    </row>
    <row r="40">
      <c r="A40" t="inlineStr">
        <is>
          <t xml:space="preserve">   Ground (KGN&lt;&gt;YYZ + xfer)</t>
        </is>
      </c>
      <c r="B40" t="inlineStr">
        <is>
          <t>flat</t>
        </is>
      </c>
      <c r="C40" t="inlineStr">
        <is>
          <t>—</t>
        </is>
      </c>
      <c r="D40" t="inlineStr">
        <is>
          <t>—</t>
        </is>
      </c>
      <c r="E40" t="inlineStr">
        <is>
          <t>~$612</t>
        </is>
      </c>
      <c r="F40" t="inlineStr">
        <is>
          <t>$850</t>
        </is>
      </c>
    </row>
    <row r="41">
      <c r="A41" s="2" t="inlineStr">
        <is>
          <t xml:space="preserve">   Subtotal</t>
        </is>
      </c>
      <c r="B41" t="inlineStr"/>
      <c r="C41" t="inlineStr"/>
      <c r="D41" t="inlineStr"/>
      <c r="E41" t="inlineStr">
        <is>
          <t>$8,332</t>
        </is>
      </c>
      <c r="F41" t="inlineStr">
        <is>
          <t>$11,581</t>
        </is>
      </c>
    </row>
    <row r="42">
      <c r="A42" s="2" t="inlineStr">
        <is>
          <t xml:space="preserve">   Contingency 10%</t>
        </is>
      </c>
      <c r="B42" t="inlineStr"/>
      <c r="C42" t="inlineStr"/>
      <c r="D42" t="inlineStr"/>
      <c r="E42" t="inlineStr">
        <is>
          <t>$833</t>
        </is>
      </c>
      <c r="F42" t="inlineStr">
        <is>
          <t>$1,158</t>
        </is>
      </c>
    </row>
    <row r="43">
      <c r="A43" s="13" t="inlineStr">
        <is>
          <t xml:space="preserve">   TOTAL – UNCMUNC – UNC (FLY, 12 del)</t>
        </is>
      </c>
      <c r="B43" s="14" t="inlineStr"/>
      <c r="C43" s="14" t="inlineStr"/>
      <c r="D43" s="14" t="inlineStr"/>
      <c r="E43" s="14" t="inlineStr">
        <is>
          <t>$9,165</t>
        </is>
      </c>
      <c r="F43" s="14" t="inlineStr">
        <is>
          <t>$12,739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s="15" t="inlineStr">
        <is>
          <t>▼ McMUN – McGill  (Montreal, QC, Jan 28-31, 2027)  [FIXED 20 DEL]</t>
        </is>
      </c>
      <c r="B45" s="15" t="inlineStr"/>
      <c r="C45" s="15" t="inlineStr"/>
      <c r="D45" s="15" t="inlineStr"/>
      <c r="E45" s="15" t="inlineStr"/>
      <c r="F45" s="15" t="inlineStr"/>
    </row>
    <row r="46">
      <c r="A46" t="inlineStr">
        <is>
          <t xml:space="preserve">   Delegation fee</t>
        </is>
      </c>
      <c r="B46" t="inlineStr">
        <is>
          <t>flat</t>
        </is>
      </c>
      <c r="C46" t="inlineStr">
        <is>
          <t>$80 CAD</t>
        </is>
      </c>
      <c r="D46" t="inlineStr">
        <is>
          <t>1</t>
        </is>
      </c>
      <c r="E46" t="inlineStr">
        <is>
          <t>$58</t>
        </is>
      </c>
      <c r="F46" t="inlineStr">
        <is>
          <t>$80</t>
        </is>
      </c>
    </row>
    <row r="47">
      <c r="A47" t="inlineStr">
        <is>
          <t xml:space="preserve">   Delegate fees</t>
        </is>
      </c>
      <c r="B47" t="inlineStr">
        <is>
          <t>20 billable</t>
        </is>
      </c>
      <c r="C47" t="inlineStr">
        <is>
          <t>$125 CAD</t>
        </is>
      </c>
      <c r="D47" t="inlineStr">
        <is>
          <t>20</t>
        </is>
      </c>
      <c r="E47" t="inlineStr">
        <is>
          <t>$1,799</t>
        </is>
      </c>
      <c r="F47" t="inlineStr">
        <is>
          <t>$2,500</t>
        </is>
      </c>
    </row>
    <row r="48">
      <c r="A48" t="inlineStr">
        <is>
          <t xml:space="preserve">   Hotel</t>
        </is>
      </c>
      <c r="B48" t="inlineStr">
        <is>
          <t>5 rms x 3 nts</t>
        </is>
      </c>
      <c r="C48" t="inlineStr">
        <is>
          <t>$234 CAD</t>
        </is>
      </c>
      <c r="D48" t="inlineStr">
        <is>
          <t>15</t>
        </is>
      </c>
      <c r="E48" t="inlineStr">
        <is>
          <t>$2,525</t>
        </is>
      </c>
      <c r="F48" t="inlineStr">
        <is>
          <t>$3,510</t>
        </is>
      </c>
    </row>
    <row r="49">
      <c r="A49" t="inlineStr">
        <is>
          <t xml:space="preserve">   Megabus RT (Kingston&lt;&gt;Montreal)</t>
        </is>
      </c>
      <c r="B49" t="inlineStr">
        <is>
          <t>20 delegates</t>
        </is>
      </c>
      <c r="C49" t="inlineStr">
        <is>
          <t>$110 CAD</t>
        </is>
      </c>
      <c r="D49" t="inlineStr">
        <is>
          <t>20</t>
        </is>
      </c>
      <c r="E49" t="inlineStr">
        <is>
          <t>$1,583</t>
        </is>
      </c>
      <c r="F49" t="inlineStr">
        <is>
          <t>$2,200</t>
        </is>
      </c>
    </row>
    <row r="50">
      <c r="A50" s="2" t="inlineStr">
        <is>
          <t xml:space="preserve">   Subtotal</t>
        </is>
      </c>
      <c r="B50" t="inlineStr"/>
      <c r="C50" t="inlineStr"/>
      <c r="D50" t="inlineStr"/>
      <c r="E50" t="inlineStr">
        <is>
          <t>$5,964</t>
        </is>
      </c>
      <c r="F50" t="inlineStr">
        <is>
          <t>$8,290</t>
        </is>
      </c>
    </row>
    <row r="51">
      <c r="A51" s="2" t="inlineStr">
        <is>
          <t xml:space="preserve">   Contingency 10%</t>
        </is>
      </c>
      <c r="B51" t="inlineStr"/>
      <c r="C51" t="inlineStr"/>
      <c r="D51" t="inlineStr"/>
      <c r="E51" t="inlineStr">
        <is>
          <t>$596</t>
        </is>
      </c>
      <c r="F51" t="inlineStr">
        <is>
          <t>$829</t>
        </is>
      </c>
    </row>
    <row r="52">
      <c r="A52" s="13" t="inlineStr">
        <is>
          <t xml:space="preserve">   TOTAL – McMUN – McGill (BUS, 20 del)</t>
        </is>
      </c>
      <c r="B52" s="14" t="inlineStr"/>
      <c r="C52" s="14" t="inlineStr"/>
      <c r="D52" s="14" t="inlineStr"/>
      <c r="E52" s="14" t="inlineStr">
        <is>
          <t>$6,560</t>
        </is>
      </c>
      <c r="F52" s="14" t="inlineStr">
        <is>
          <t>$9,119</t>
        </is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s="8" t="inlineStr">
        <is>
          <t>▼ BUCKMUN – Ohio State  (Columbus, OH, Feb 4-7, 2027)</t>
        </is>
      </c>
      <c r="B54" s="8" t="inlineStr"/>
      <c r="C54" s="8" t="inlineStr"/>
      <c r="D54" s="8" t="inlineStr"/>
      <c r="E54" s="8" t="inlineStr"/>
      <c r="F54" s="8" t="inlineStr"/>
    </row>
    <row r="55">
      <c r="A55" t="inlineStr">
        <is>
          <t xml:space="preserve">   Delegation fee</t>
        </is>
      </c>
      <c r="B55" t="inlineStr">
        <is>
          <t>flat</t>
        </is>
      </c>
      <c r="C55" t="inlineStr">
        <is>
          <t>$75 USD</t>
        </is>
      </c>
      <c r="D55" t="inlineStr">
        <is>
          <t>1</t>
        </is>
      </c>
      <c r="E55" t="inlineStr">
        <is>
          <t>$75</t>
        </is>
      </c>
      <c r="F55" t="inlineStr">
        <is>
          <t>$104</t>
        </is>
      </c>
    </row>
    <row r="56">
      <c r="A56" t="inlineStr">
        <is>
          <t xml:space="preserve">   Delegate fees</t>
        </is>
      </c>
      <c r="B56" t="inlineStr">
        <is>
          <t>12 billable</t>
        </is>
      </c>
      <c r="C56" t="inlineStr">
        <is>
          <t>$75 USD</t>
        </is>
      </c>
      <c r="D56" t="inlineStr">
        <is>
          <t>12</t>
        </is>
      </c>
      <c r="E56" t="inlineStr">
        <is>
          <t>$900</t>
        </is>
      </c>
      <c r="F56" t="inlineStr">
        <is>
          <t>$1,251</t>
        </is>
      </c>
    </row>
    <row r="57">
      <c r="A57" t="inlineStr">
        <is>
          <t xml:space="preserve">   Hotel</t>
        </is>
      </c>
      <c r="B57" t="inlineStr">
        <is>
          <t>3 rms x 3 nts</t>
        </is>
      </c>
      <c r="C57" t="inlineStr">
        <is>
          <t>$150 USD</t>
        </is>
      </c>
      <c r="D57" t="inlineStr">
        <is>
          <t>9</t>
        </is>
      </c>
      <c r="E57" t="inlineStr">
        <is>
          <t>$1,350</t>
        </is>
      </c>
      <c r="F57" t="inlineStr">
        <is>
          <t>$1,876</t>
        </is>
      </c>
    </row>
    <row r="58">
      <c r="A58" t="inlineStr">
        <is>
          <t xml:space="preserve">   Communauto Value+LongDist</t>
        </is>
      </c>
      <c r="B58" t="inlineStr">
        <is>
          <t>3 cars x $695/car</t>
        </is>
      </c>
      <c r="C58" t="inlineStr">
        <is>
          <t>gas incl</t>
        </is>
      </c>
      <c r="D58" t="inlineStr">
        <is>
          <t>3</t>
        </is>
      </c>
      <c r="E58" t="inlineStr">
        <is>
          <t>—</t>
        </is>
      </c>
      <c r="F58" t="inlineStr">
        <is>
          <t>$2,086</t>
        </is>
      </c>
    </row>
    <row r="59">
      <c r="A59" s="2" t="inlineStr">
        <is>
          <t xml:space="preserve">      (per car: $194 time + $391 km + $30 dmg, x13% HST)</t>
        </is>
      </c>
      <c r="B59" t="inlineStr"/>
      <c r="C59" t="inlineStr"/>
      <c r="D59" t="inlineStr"/>
      <c r="E59" t="inlineStr"/>
      <c r="F59" t="inlineStr"/>
    </row>
    <row r="60">
      <c r="A60" s="2" t="inlineStr">
        <is>
          <t xml:space="preserve">   Subtotal</t>
        </is>
      </c>
      <c r="B60" t="inlineStr"/>
      <c r="C60" t="inlineStr"/>
      <c r="D60" t="inlineStr"/>
      <c r="E60" t="inlineStr">
        <is>
          <t>$3,826</t>
        </is>
      </c>
      <c r="F60" t="inlineStr">
        <is>
          <t>$5,318</t>
        </is>
      </c>
    </row>
    <row r="61">
      <c r="A61" s="2" t="inlineStr">
        <is>
          <t xml:space="preserve">   Contingency 10%</t>
        </is>
      </c>
      <c r="B61" t="inlineStr"/>
      <c r="C61" t="inlineStr"/>
      <c r="D61" t="inlineStr"/>
      <c r="E61" t="inlineStr">
        <is>
          <t>$383</t>
        </is>
      </c>
      <c r="F61" t="inlineStr">
        <is>
          <t>$532</t>
        </is>
      </c>
    </row>
    <row r="62">
      <c r="A62" s="13" t="inlineStr">
        <is>
          <t xml:space="preserve">   TOTAL – BUCKMUN – Ohio State (DRIVE, 12 del)</t>
        </is>
      </c>
      <c r="B62" s="14" t="inlineStr"/>
      <c r="C62" s="14" t="inlineStr"/>
      <c r="D62" s="14" t="inlineStr"/>
      <c r="E62" s="14" t="inlineStr">
        <is>
          <t>$4,208</t>
        </is>
      </c>
      <c r="F62" s="14" t="inlineStr">
        <is>
          <t>$5,850</t>
        </is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s="15" t="inlineStr">
        <is>
          <t>▼ ConMUN – Concordia  (Montreal, QC, ~Mar 11-14, 2027)  [FIXED 20 DEL]</t>
        </is>
      </c>
      <c r="B64" s="15" t="inlineStr"/>
      <c r="C64" s="15" t="inlineStr"/>
      <c r="D64" s="15" t="inlineStr"/>
      <c r="E64" s="15" t="inlineStr"/>
      <c r="F64" s="15" t="inlineStr"/>
    </row>
    <row r="65">
      <c r="A65" t="inlineStr">
        <is>
          <t xml:space="preserve">   Delegation fee</t>
        </is>
      </c>
      <c r="B65" t="inlineStr">
        <is>
          <t>flat</t>
        </is>
      </c>
      <c r="C65" t="inlineStr">
        <is>
          <t>$100 CAD</t>
        </is>
      </c>
      <c r="D65" t="inlineStr">
        <is>
          <t>1</t>
        </is>
      </c>
      <c r="E65" t="inlineStr">
        <is>
          <t>$72</t>
        </is>
      </c>
      <c r="F65" t="inlineStr">
        <is>
          <t>$100</t>
        </is>
      </c>
    </row>
    <row r="66">
      <c r="A66" t="inlineStr">
        <is>
          <t xml:space="preserve">   Delegate fees</t>
        </is>
      </c>
      <c r="B66" t="inlineStr">
        <is>
          <t>20 billable</t>
        </is>
      </c>
      <c r="C66" t="inlineStr">
        <is>
          <t>$125 CAD</t>
        </is>
      </c>
      <c r="D66" t="inlineStr">
        <is>
          <t>20</t>
        </is>
      </c>
      <c r="E66" t="inlineStr">
        <is>
          <t>$1,799</t>
        </is>
      </c>
      <c r="F66" t="inlineStr">
        <is>
          <t>$2,500</t>
        </is>
      </c>
    </row>
    <row r="67">
      <c r="A67" t="inlineStr">
        <is>
          <t xml:space="preserve">   Hotel</t>
        </is>
      </c>
      <c r="B67" t="inlineStr">
        <is>
          <t>5 rms x 3 nts</t>
        </is>
      </c>
      <c r="C67" t="inlineStr">
        <is>
          <t>$229 CAD</t>
        </is>
      </c>
      <c r="D67" t="inlineStr">
        <is>
          <t>15</t>
        </is>
      </c>
      <c r="E67" t="inlineStr">
        <is>
          <t>$2,471</t>
        </is>
      </c>
      <c r="F67" t="inlineStr">
        <is>
          <t>$3,435</t>
        </is>
      </c>
    </row>
    <row r="68">
      <c r="A68" t="inlineStr">
        <is>
          <t xml:space="preserve">   Megabus RT (Kingston&lt;&gt;Montreal)</t>
        </is>
      </c>
      <c r="B68" t="inlineStr">
        <is>
          <t>20 delegates</t>
        </is>
      </c>
      <c r="C68" t="inlineStr">
        <is>
          <t>$110 CAD</t>
        </is>
      </c>
      <c r="D68" t="inlineStr">
        <is>
          <t>20</t>
        </is>
      </c>
      <c r="E68" t="inlineStr">
        <is>
          <t>$1,583</t>
        </is>
      </c>
      <c r="F68" t="inlineStr">
        <is>
          <t>$2,200</t>
        </is>
      </c>
    </row>
    <row r="69">
      <c r="A69" s="2" t="inlineStr">
        <is>
          <t xml:space="preserve">   Subtotal</t>
        </is>
      </c>
      <c r="B69" t="inlineStr"/>
      <c r="C69" t="inlineStr"/>
      <c r="D69" t="inlineStr"/>
      <c r="E69" t="inlineStr">
        <is>
          <t>$5,924</t>
        </is>
      </c>
      <c r="F69" t="inlineStr">
        <is>
          <t>$8,235</t>
        </is>
      </c>
    </row>
    <row r="70">
      <c r="A70" s="2" t="inlineStr">
        <is>
          <t xml:space="preserve">   Contingency 10%</t>
        </is>
      </c>
      <c r="B70" t="inlineStr"/>
      <c r="C70" t="inlineStr"/>
      <c r="D70" t="inlineStr"/>
      <c r="E70" t="inlineStr">
        <is>
          <t>$592</t>
        </is>
      </c>
      <c r="F70" t="inlineStr">
        <is>
          <t>$824</t>
        </is>
      </c>
    </row>
    <row r="71">
      <c r="A71" s="13" t="inlineStr">
        <is>
          <t xml:space="preserve">   TOTAL – ConMUN – Concordia (BUS, 20 del)</t>
        </is>
      </c>
      <c r="B71" s="14" t="inlineStr"/>
      <c r="C71" s="14" t="inlineStr"/>
      <c r="D71" s="14" t="inlineStr"/>
      <c r="E71" s="14" t="inlineStr">
        <is>
          <t>$6,517</t>
        </is>
      </c>
      <c r="F71" s="14" t="inlineStr">
        <is>
          <t>$9,058</t>
        </is>
      </c>
    </row>
    <row r="72">
      <c r="A72" t="inlineStr"/>
      <c r="B72" t="inlineStr"/>
      <c r="C72" t="inlineStr"/>
      <c r="D72" t="inlineStr"/>
      <c r="E72" t="inlineStr"/>
      <c r="F72" t="inlineStr"/>
    </row>
    <row r="73">
      <c r="A73" s="8" t="inlineStr">
        <is>
          <t>▼ ChoMUN – UChicago  (Chicago, IL, Mar 25-28, 2027)</t>
        </is>
      </c>
      <c r="B73" s="8" t="inlineStr"/>
      <c r="C73" s="8" t="inlineStr"/>
      <c r="D73" s="8" t="inlineStr"/>
      <c r="E73" s="8" t="inlineStr"/>
      <c r="F73" s="8" t="inlineStr"/>
    </row>
    <row r="74">
      <c r="A74" t="inlineStr">
        <is>
          <t xml:space="preserve">   Delegation fee</t>
        </is>
      </c>
      <c r="B74" t="inlineStr">
        <is>
          <t>flat</t>
        </is>
      </c>
      <c r="C74" t="inlineStr">
        <is>
          <t>$50 USD</t>
        </is>
      </c>
      <c r="D74" t="inlineStr">
        <is>
          <t>1</t>
        </is>
      </c>
      <c r="E74" t="inlineStr">
        <is>
          <t>$50</t>
        </is>
      </c>
      <c r="F74" t="inlineStr">
        <is>
          <t>$70</t>
        </is>
      </c>
    </row>
    <row r="75">
      <c r="A75" t="inlineStr">
        <is>
          <t xml:space="preserve">   Delegate fees</t>
        </is>
      </c>
      <c r="B75" t="inlineStr">
        <is>
          <t>12 billable</t>
        </is>
      </c>
      <c r="C75" t="inlineStr">
        <is>
          <t>$110 USD</t>
        </is>
      </c>
      <c r="D75" t="inlineStr">
        <is>
          <t>12</t>
        </is>
      </c>
      <c r="E75" t="inlineStr">
        <is>
          <t>$1,320</t>
        </is>
      </c>
      <c r="F75" t="inlineStr">
        <is>
          <t>$1,835</t>
        </is>
      </c>
    </row>
    <row r="76">
      <c r="A76" t="inlineStr">
        <is>
          <t xml:space="preserve">   Hotel</t>
        </is>
      </c>
      <c r="B76" t="inlineStr">
        <is>
          <t>3 rms x 3 nts</t>
        </is>
      </c>
      <c r="C76" t="inlineStr">
        <is>
          <t>$201 USD</t>
        </is>
      </c>
      <c r="D76" t="inlineStr">
        <is>
          <t>9</t>
        </is>
      </c>
      <c r="E76" t="inlineStr">
        <is>
          <t>$1,809</t>
        </is>
      </c>
      <c r="F76" t="inlineStr">
        <is>
          <t>$2,515</t>
        </is>
      </c>
    </row>
    <row r="77">
      <c r="A77" t="inlineStr">
        <is>
          <t xml:space="preserve">   Communauto Value+LongDist</t>
        </is>
      </c>
      <c r="B77" t="inlineStr">
        <is>
          <t>3 cars x $754/car</t>
        </is>
      </c>
      <c r="C77" t="inlineStr">
        <is>
          <t>gas incl</t>
        </is>
      </c>
      <c r="D77" t="inlineStr">
        <is>
          <t>3</t>
        </is>
      </c>
      <c r="E77" t="inlineStr">
        <is>
          <t>—</t>
        </is>
      </c>
      <c r="F77" t="inlineStr">
        <is>
          <t>$2,263</t>
        </is>
      </c>
    </row>
    <row r="78">
      <c r="A78" s="2" t="inlineStr">
        <is>
          <t xml:space="preserve">      (per car: $194 time + $443 km + $30 dmg, x13% HST)</t>
        </is>
      </c>
      <c r="B78" t="inlineStr"/>
      <c r="C78" t="inlineStr"/>
      <c r="D78" t="inlineStr"/>
      <c r="E78" t="inlineStr"/>
      <c r="F78" t="inlineStr"/>
    </row>
    <row r="79">
      <c r="A79" s="2" t="inlineStr">
        <is>
          <t xml:space="preserve">   Subtotal</t>
        </is>
      </c>
      <c r="B79" t="inlineStr"/>
      <c r="C79" t="inlineStr"/>
      <c r="D79" t="inlineStr"/>
      <c r="E79" t="inlineStr">
        <is>
          <t>$4,807</t>
        </is>
      </c>
      <c r="F79" t="inlineStr">
        <is>
          <t>$6,681</t>
        </is>
      </c>
    </row>
    <row r="80">
      <c r="A80" s="2" t="inlineStr">
        <is>
          <t xml:space="preserve">   Contingency 10%</t>
        </is>
      </c>
      <c r="B80" t="inlineStr"/>
      <c r="C80" t="inlineStr"/>
      <c r="D80" t="inlineStr"/>
      <c r="E80" t="inlineStr">
        <is>
          <t>$481</t>
        </is>
      </c>
      <c r="F80" t="inlineStr">
        <is>
          <t>$668</t>
        </is>
      </c>
    </row>
    <row r="81">
      <c r="A81" s="13" t="inlineStr">
        <is>
          <t xml:space="preserve">   TOTAL – ChoMUN – UChicago (DRIVE, 12 del)</t>
        </is>
      </c>
      <c r="B81" s="14" t="inlineStr"/>
      <c r="C81" s="14" t="inlineStr"/>
      <c r="D81" s="14" t="inlineStr"/>
      <c r="E81" s="14" t="inlineStr">
        <is>
          <t>$5,287</t>
        </is>
      </c>
      <c r="F81" s="14" t="inlineStr">
        <is>
          <t>$7,350</t>
        </is>
      </c>
    </row>
    <row r="82">
      <c r="A82" t="inlineStr"/>
      <c r="B82" t="inlineStr"/>
      <c r="C82" t="inlineStr"/>
      <c r="D82" t="inlineStr"/>
      <c r="E82" t="inlineStr"/>
      <c r="F82" t="inlineStr"/>
    </row>
    <row r="83">
      <c r="A83" s="8" t="inlineStr">
        <is>
          <t>▼ VICS – UVA  (Charlottesville, VA, ~Mar 25-28, 2027)</t>
        </is>
      </c>
      <c r="B83" s="8" t="inlineStr"/>
      <c r="C83" s="8" t="inlineStr"/>
      <c r="D83" s="8" t="inlineStr"/>
      <c r="E83" s="8" t="inlineStr"/>
      <c r="F83" s="8" t="inlineStr"/>
    </row>
    <row r="84">
      <c r="A84" t="inlineStr">
        <is>
          <t xml:space="preserve">   Delegation fee</t>
        </is>
      </c>
      <c r="B84" t="inlineStr">
        <is>
          <t>flat</t>
        </is>
      </c>
      <c r="C84" t="inlineStr">
        <is>
          <t>$85 USD</t>
        </is>
      </c>
      <c r="D84" t="inlineStr">
        <is>
          <t>1</t>
        </is>
      </c>
      <c r="E84" t="inlineStr">
        <is>
          <t>$85</t>
        </is>
      </c>
      <c r="F84" t="inlineStr">
        <is>
          <t>$118</t>
        </is>
      </c>
    </row>
    <row r="85">
      <c r="A85" t="inlineStr">
        <is>
          <t xml:space="preserve">   Delegate fees</t>
        </is>
      </c>
      <c r="B85" t="inlineStr">
        <is>
          <t>12 billable</t>
        </is>
      </c>
      <c r="C85" t="inlineStr">
        <is>
          <t>$105 USD</t>
        </is>
      </c>
      <c r="D85" t="inlineStr">
        <is>
          <t>12</t>
        </is>
      </c>
      <c r="E85" t="inlineStr">
        <is>
          <t>$1,260</t>
        </is>
      </c>
      <c r="F85" t="inlineStr">
        <is>
          <t>$1,751</t>
        </is>
      </c>
    </row>
    <row r="86">
      <c r="A86" t="inlineStr">
        <is>
          <t xml:space="preserve">   Hotel</t>
        </is>
      </c>
      <c r="B86" t="inlineStr">
        <is>
          <t>3 rms x 3 nts</t>
        </is>
      </c>
      <c r="C86" t="inlineStr">
        <is>
          <t>$189 USD</t>
        </is>
      </c>
      <c r="D86" t="inlineStr">
        <is>
          <t>9</t>
        </is>
      </c>
      <c r="E86" t="inlineStr">
        <is>
          <t>$1,701</t>
        </is>
      </c>
      <c r="F86" t="inlineStr">
        <is>
          <t>$2,364</t>
        </is>
      </c>
    </row>
    <row r="87">
      <c r="A87" t="inlineStr">
        <is>
          <t xml:space="preserve">   Communauto Value+LongDist</t>
        </is>
      </c>
      <c r="B87" t="inlineStr">
        <is>
          <t>3 cars x $716/car</t>
        </is>
      </c>
      <c r="C87" t="inlineStr">
        <is>
          <t>gas incl</t>
        </is>
      </c>
      <c r="D87" t="inlineStr">
        <is>
          <t>3</t>
        </is>
      </c>
      <c r="E87" t="inlineStr">
        <is>
          <t>—</t>
        </is>
      </c>
      <c r="F87" t="inlineStr">
        <is>
          <t>$2,149</t>
        </is>
      </c>
    </row>
    <row r="88">
      <c r="A88" s="2" t="inlineStr">
        <is>
          <t xml:space="preserve">      (per car: $194 time + $410 km + $30 dmg, x13% HST)</t>
        </is>
      </c>
      <c r="B88" t="inlineStr"/>
      <c r="C88" t="inlineStr"/>
      <c r="D88" t="inlineStr"/>
      <c r="E88" t="inlineStr"/>
      <c r="F88" t="inlineStr"/>
    </row>
    <row r="89">
      <c r="A89" s="2" t="inlineStr">
        <is>
          <t xml:space="preserve">   Subtotal</t>
        </is>
      </c>
      <c r="B89" t="inlineStr"/>
      <c r="C89" t="inlineStr"/>
      <c r="D89" t="inlineStr"/>
      <c r="E89" t="inlineStr">
        <is>
          <t>$4,592</t>
        </is>
      </c>
      <c r="F89" t="inlineStr">
        <is>
          <t>$6,383</t>
        </is>
      </c>
    </row>
    <row r="90">
      <c r="A90" s="2" t="inlineStr">
        <is>
          <t xml:space="preserve">   Contingency 10%</t>
        </is>
      </c>
      <c r="B90" t="inlineStr"/>
      <c r="C90" t="inlineStr"/>
      <c r="D90" t="inlineStr"/>
      <c r="E90" t="inlineStr">
        <is>
          <t>$459</t>
        </is>
      </c>
      <c r="F90" t="inlineStr">
        <is>
          <t>$638</t>
        </is>
      </c>
    </row>
    <row r="91">
      <c r="A91" s="13" t="inlineStr">
        <is>
          <t xml:space="preserve">   TOTAL – VICS – UVA (DRIVE, 12 del)</t>
        </is>
      </c>
      <c r="B91" s="14" t="inlineStr"/>
      <c r="C91" s="14" t="inlineStr"/>
      <c r="D91" s="14" t="inlineStr"/>
      <c r="E91" s="14" t="inlineStr">
        <is>
          <t>$5,051</t>
        </is>
      </c>
      <c r="F91" s="14" t="inlineStr">
        <is>
          <t>$7,022</t>
        </is>
      </c>
    </row>
    <row r="92">
      <c r="A92" t="inlineStr"/>
      <c r="B92" t="inlineStr"/>
      <c r="C92" t="inlineStr"/>
      <c r="D92" t="inlineStr"/>
      <c r="E92" t="inlineStr"/>
      <c r="F92" t="inlineStr"/>
    </row>
    <row r="93">
      <c r="A93" s="2" t="inlineStr">
        <is>
          <t>+ Communauto Value subscriptions (3 accts x $60/yr)</t>
        </is>
      </c>
      <c r="B93" t="inlineStr"/>
      <c r="C93" t="inlineStr"/>
      <c r="D93" t="inlineStr"/>
      <c r="E93" t="inlineStr">
        <is>
          <t>$129</t>
        </is>
      </c>
      <c r="F93" t="inlineStr">
        <is>
          <t>$180</t>
        </is>
      </c>
    </row>
    <row r="94">
      <c r="A94" s="9" t="inlineStr">
        <is>
          <t>PROGRAM TOTAL – 12-del scenario</t>
        </is>
      </c>
      <c r="B94" s="9" t="inlineStr"/>
      <c r="C94" s="9" t="inlineStr"/>
      <c r="D94" s="9" t="inlineStr"/>
      <c r="E94" s="9" t="inlineStr">
        <is>
          <t>$51,685</t>
        </is>
      </c>
      <c r="F94" s="9" t="inlineStr">
        <is>
          <t>$71,843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8" customWidth="1" min="4" max="4"/>
    <col width="18" customWidth="1" min="5" max="5"/>
  </cols>
  <sheetData>
    <row r="1">
      <c r="A1" s="11" t="inlineStr">
        <is>
          <t>SELECTED SLATE – NCSC(8) · CIAC(12) · VICS(12) · ChoMUN(8) · McMUN(20) · ConMUN(20)</t>
        </is>
      </c>
    </row>
    <row r="2">
      <c r="A2" s="2" t="inlineStr">
        <is>
          <t>Your chosen 6 conferences. US confs = Communauto Value+LongDist · Montreal confs = Megabus. CAD.</t>
        </is>
      </c>
    </row>
    <row r="3">
      <c r="A3" t="inlineStr"/>
      <c r="B3" t="inlineStr"/>
      <c r="C3" t="inlineStr"/>
      <c r="D3" t="inlineStr"/>
      <c r="E3" t="inlineStr"/>
    </row>
    <row r="4">
      <c r="A4" s="12" t="inlineStr">
        <is>
          <t>Conference</t>
        </is>
      </c>
      <c r="B4" s="12" t="inlineStr">
        <is>
          <t>Delegates</t>
        </is>
      </c>
      <c r="C4" s="12" t="inlineStr">
        <is>
          <t>Travel</t>
        </is>
      </c>
      <c r="D4" s="12" t="inlineStr">
        <is>
          <t>Reg+Hotel (CAD)</t>
        </is>
      </c>
      <c r="E4" s="12" t="inlineStr">
        <is>
          <t>Total +10% (CAD)</t>
        </is>
      </c>
    </row>
    <row r="5">
      <c r="A5" s="4" t="inlineStr">
        <is>
          <t>NCSC – Georgetown</t>
        </is>
      </c>
      <c r="B5" s="4" t="inlineStr">
        <is>
          <t>8</t>
        </is>
      </c>
      <c r="C5" s="4" t="inlineStr">
        <is>
          <t>Communauto</t>
        </is>
      </c>
      <c r="D5" s="4" t="inlineStr">
        <is>
          <t>$4,401</t>
        </is>
      </c>
      <c r="E5" s="4" t="inlineStr">
        <is>
          <t>$6,149</t>
        </is>
      </c>
    </row>
    <row r="6">
      <c r="A6" s="4" t="inlineStr">
        <is>
          <t>CIAC – Cornell</t>
        </is>
      </c>
      <c r="B6" s="4" t="inlineStr">
        <is>
          <t>12</t>
        </is>
      </c>
      <c r="C6" s="4" t="inlineStr">
        <is>
          <t>Communauto</t>
        </is>
      </c>
      <c r="D6" s="4" t="inlineStr">
        <is>
          <t>$3,219</t>
        </is>
      </c>
      <c r="E6" s="4" t="inlineStr">
        <is>
          <t>$4,771</t>
        </is>
      </c>
    </row>
    <row r="7">
      <c r="A7" s="4" t="inlineStr">
        <is>
          <t>VICS – UVA</t>
        </is>
      </c>
      <c r="B7" s="4" t="inlineStr">
        <is>
          <t>12</t>
        </is>
      </c>
      <c r="C7" s="4" t="inlineStr">
        <is>
          <t>Communauto</t>
        </is>
      </c>
      <c r="D7" s="4" t="inlineStr">
        <is>
          <t>$4,234</t>
        </is>
      </c>
      <c r="E7" s="4" t="inlineStr">
        <is>
          <t>$7,022</t>
        </is>
      </c>
    </row>
    <row r="8">
      <c r="A8" s="4" t="inlineStr">
        <is>
          <t>ChoMUN – UChicago</t>
        </is>
      </c>
      <c r="B8" s="4" t="inlineStr">
        <is>
          <t>8</t>
        </is>
      </c>
      <c r="C8" s="4" t="inlineStr">
        <is>
          <t>Communauto</t>
        </is>
      </c>
      <c r="D8" s="4" t="inlineStr">
        <is>
          <t>$2,969</t>
        </is>
      </c>
      <c r="E8" s="4" t="inlineStr">
        <is>
          <t>$4,925</t>
        </is>
      </c>
    </row>
    <row r="9">
      <c r="A9" s="6" t="inlineStr">
        <is>
          <t>McMUN – McGill</t>
        </is>
      </c>
      <c r="B9" s="6" t="inlineStr">
        <is>
          <t>20</t>
        </is>
      </c>
      <c r="C9" s="6" t="inlineStr">
        <is>
          <t>Megabus</t>
        </is>
      </c>
      <c r="D9" s="6" t="inlineStr">
        <is>
          <t>$6,090</t>
        </is>
      </c>
      <c r="E9" s="6" t="inlineStr">
        <is>
          <t>$9,119</t>
        </is>
      </c>
    </row>
    <row r="10">
      <c r="A10" s="6" t="inlineStr">
        <is>
          <t>ConMUN – Concordia</t>
        </is>
      </c>
      <c r="B10" s="6" t="inlineStr">
        <is>
          <t>20</t>
        </is>
      </c>
      <c r="C10" s="6" t="inlineStr">
        <is>
          <t>Megabus</t>
        </is>
      </c>
      <c r="D10" s="6" t="inlineStr">
        <is>
          <t>$6,035</t>
        </is>
      </c>
      <c r="E10" s="6" t="inlineStr">
        <is>
          <t>$9,058</t>
        </is>
      </c>
    </row>
    <row r="11">
      <c r="A11" s="8" t="inlineStr">
        <is>
          <t>+ Communauto Value subscriptions (3 accts)</t>
        </is>
      </c>
      <c r="B11" s="8" t="inlineStr"/>
      <c r="C11" s="8" t="inlineStr"/>
      <c r="D11" s="8" t="inlineStr"/>
      <c r="E11" s="8" t="inlineStr">
        <is>
          <t>$180</t>
        </is>
      </c>
    </row>
    <row r="12">
      <c r="A12" s="9" t="inlineStr">
        <is>
          <t>SLATE TOTAL</t>
        </is>
      </c>
      <c r="B12" s="9" t="inlineStr">
        <is>
          <t>80 delegate-trips</t>
        </is>
      </c>
      <c r="C12" s="9" t="inlineStr"/>
      <c r="D12" s="9" t="inlineStr"/>
      <c r="E12" s="9" t="inlineStr">
        <is>
          <t>$41,225</t>
        </is>
      </c>
    </row>
    <row r="13">
      <c r="A13" t="inlineStr"/>
      <c r="B13" t="inlineStr"/>
      <c r="C13" t="inlineStr"/>
      <c r="D13" t="inlineStr"/>
      <c r="E13" t="inlineStr"/>
    </row>
    <row r="14">
      <c r="A14" s="16" t="inlineStr">
        <is>
          <t>SLATE TOTAL: $41,225 CAD   ($29,658 USD)</t>
        </is>
      </c>
      <c r="B14" t="inlineStr"/>
      <c r="C14" t="inlineStr"/>
      <c r="D14" t="inlineStr"/>
      <c r="E14" t="inlineStr"/>
    </row>
    <row r="15">
      <c r="A15" s="17" t="inlineStr">
        <is>
          <t>Communauto: 3 Value accounts (1 driver/car for the US trips). Montreal trips by Megabus need no car/account.</t>
        </is>
      </c>
      <c r="B15" t="inlineStr"/>
      <c r="C15" t="inlineStr"/>
      <c r="D15" t="inlineStr"/>
      <c r="E1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2" customWidth="1" min="1" max="1"/>
    <col width="42" customWidth="1" min="2" max="2"/>
    <col width="44" customWidth="1" min="3" max="3"/>
  </cols>
  <sheetData>
    <row r="1">
      <c r="A1" s="18" t="inlineStr">
        <is>
          <t>ASSUMPTIONS &amp; SOURCES</t>
        </is>
      </c>
    </row>
    <row r="2">
      <c r="A2" t="inlineStr"/>
      <c r="B2" t="inlineStr"/>
      <c r="C2" t="inlineStr"/>
    </row>
    <row r="3">
      <c r="A3" s="8" t="inlineStr">
        <is>
          <t>GLOBAL</t>
        </is>
      </c>
      <c r="B3" s="8" t="inlineStr"/>
      <c r="C3" s="8" t="inlineStr"/>
    </row>
    <row r="4">
      <c r="A4" t="inlineStr">
        <is>
          <t>Exchange rate</t>
        </is>
      </c>
      <c r="B4" t="inlineStr">
        <is>
          <t>USD &gt; CAD</t>
        </is>
      </c>
      <c r="C4" t="inlineStr">
        <is>
          <t>1.39</t>
        </is>
      </c>
    </row>
    <row r="5">
      <c r="A5" t="inlineStr">
        <is>
          <t>Rooming / car</t>
        </is>
      </c>
      <c r="B5" t="inlineStr">
        <is>
          <t>delegates per room / car</t>
        </is>
      </c>
      <c r="C5" t="inlineStr">
        <is>
          <t>4 / 4 (8&gt;2 rms, 12&gt;3, 20&gt;5)</t>
        </is>
      </c>
    </row>
    <row r="6">
      <c r="A6" t="inlineStr">
        <is>
          <t>Nights</t>
        </is>
      </c>
      <c r="B6" t="inlineStr">
        <is>
          <t>Thu-Sun</t>
        </is>
      </c>
      <c r="C6" t="inlineStr">
        <is>
          <t>3</t>
        </is>
      </c>
    </row>
    <row r="7">
      <c r="A7" t="inlineStr">
        <is>
          <t>Contingency</t>
        </is>
      </c>
      <c r="B7" t="inlineStr">
        <is>
          <t>on subtotal</t>
        </is>
      </c>
      <c r="C7" t="inlineStr">
        <is>
          <t>10%</t>
        </is>
      </c>
    </row>
    <row r="8">
      <c r="A8" t="inlineStr">
        <is>
          <t>Montreal confs</t>
        </is>
      </c>
      <c r="B8" t="inlineStr">
        <is>
          <t>McMUN &amp; ConMUN</t>
        </is>
      </c>
      <c r="C8" t="inlineStr">
        <is>
          <t>FIXED 20 delegates each</t>
        </is>
      </c>
    </row>
    <row r="9">
      <c r="A9" t="inlineStr">
        <is>
          <t>Excluded</t>
        </is>
      </c>
      <c r="B9" t="inlineStr">
        <is>
          <t>per scope</t>
        </is>
      </c>
      <c r="C9" t="inlineStr">
        <is>
          <t>meals/per-diem, faculty travel</t>
        </is>
      </c>
    </row>
    <row r="10">
      <c r="A10" t="inlineStr"/>
      <c r="B10" t="inlineStr"/>
      <c r="C10" t="inlineStr"/>
    </row>
    <row r="11">
      <c r="A11" s="8" t="inlineStr">
        <is>
          <t>TRANSPORT – US CONFS: COMMUNAUTO VALUE PLAN + LONG DISTANCE</t>
        </is>
      </c>
      <c r="B11" s="8" t="inlineStr"/>
      <c r="C11" s="8" t="inlineStr"/>
    </row>
    <row r="12">
      <c r="A12" t="inlineStr">
        <is>
          <t>Plan</t>
        </is>
      </c>
      <c r="B12" t="inlineStr">
        <is>
          <t>cheapest unlocking Long Distance</t>
        </is>
      </c>
      <c r="C12" t="inlineStr">
        <is>
          <t>Value $5/mo (12-mo min $60/yr/account)</t>
        </is>
      </c>
    </row>
    <row r="13">
      <c r="A13" t="inlineStr">
        <is>
          <t>Long Distance time / km</t>
        </is>
      </c>
      <c r="B13" t="inlineStr">
        <is>
          <t>low season Oct16-Jun14</t>
        </is>
      </c>
      <c r="C13" t="inlineStr">
        <is>
          <t>$46 d1 +$37/day · 29c/km &lt;300, 19c after · gas incl</t>
        </is>
      </c>
    </row>
    <row r="14">
      <c r="A14" t="inlineStr">
        <is>
          <t>Cars / accounts</t>
        </is>
      </c>
      <c r="B14" t="inlineStr">
        <is>
          <t>1 driver-member per car</t>
        </is>
      </c>
      <c r="C14" t="inlineStr">
        <is>
          <t>8 del=2 / 12 del=3 accounts</t>
        </is>
      </c>
    </row>
    <row r="15">
      <c r="A15" t="inlineStr">
        <is>
          <t>Subscriptions</t>
        </is>
      </c>
      <c r="B15" t="inlineStr">
        <is>
          <t>3 Value accts x $60/yr</t>
        </is>
      </c>
      <c r="C15" t="inlineStr">
        <is>
          <t>$180/yr (in PROGRAM TOTAL)</t>
        </is>
      </c>
    </row>
    <row r="16">
      <c r="A16" t="inlineStr">
        <is>
          <t>Bonds</t>
        </is>
      </c>
      <c r="B16" t="inlineStr">
        <is>
          <t>per account, refundable</t>
        </is>
      </c>
      <c r="C16" t="inlineStr">
        <is>
          <t>3 x $500 = $1,500 tied up (not a cost)</t>
        </is>
      </c>
    </row>
    <row r="17">
      <c r="A17" s="10" t="inlineStr">
        <is>
          <t>Why not Open plan</t>
        </is>
      </c>
      <c r="B17" t="inlineStr">
        <is>
          <t>Rules §9.7 + Plan Perks</t>
        </is>
      </c>
      <c r="C17" t="inlineStr">
        <is>
          <t>$500 limit &lt; single long-trip car AND no Long Distance -&gt; unusable</t>
        </is>
      </c>
    </row>
    <row r="18">
      <c r="A18" t="inlineStr">
        <is>
          <t>UNCMUNC</t>
        </is>
      </c>
      <c r="B18" t="inlineStr">
        <is>
          <t>14-15h each way</t>
        </is>
      </c>
      <c r="C18" t="inlineStr">
        <is>
          <t>FLY (YYZ-RDU ~$425 RT USD) + $850 ground</t>
        </is>
      </c>
    </row>
    <row r="19">
      <c r="A19" t="inlineStr"/>
      <c r="B19" t="inlineStr"/>
      <c r="C19" t="inlineStr"/>
    </row>
    <row r="20">
      <c r="A20" s="8" t="inlineStr">
        <is>
          <t>TRANSPORT – MONTREAL CONFS: MEGABUS</t>
        </is>
      </c>
      <c r="B20" s="8" t="inlineStr"/>
      <c r="C20" s="8" t="inlineStr"/>
    </row>
    <row r="21">
      <c r="A21" t="inlineStr">
        <is>
          <t>Route</t>
        </is>
      </c>
      <c r="B21" t="inlineStr">
        <is>
          <t>Kingston &lt;&gt; Montreal direct, ~3.5h</t>
        </is>
      </c>
      <c r="C21" t="inlineStr">
        <is>
          <t>Megabus/FlixBus, Kingston term 1175 John Counter</t>
        </is>
      </c>
    </row>
    <row r="22">
      <c r="A22" t="inlineStr">
        <is>
          <t>Fare</t>
        </is>
      </c>
      <c r="B22" t="inlineStr">
        <is>
          <t>RT per delegate, book early/together</t>
        </is>
      </c>
      <c r="C22" t="inlineStr">
        <is>
          <t>$110 CAD (no group discount under 40 pax)</t>
        </is>
      </c>
    </row>
    <row r="23">
      <c r="A23" t="inlineStr"/>
      <c r="B23" t="inlineStr"/>
      <c r="C23" t="inlineStr"/>
    </row>
    <row r="24">
      <c r="A24" s="8" t="inlineStr">
        <is>
          <t>PER-CONFERENCE SOURCES &amp; FEES</t>
        </is>
      </c>
      <c r="B24" s="8" t="inlineStr"/>
      <c r="C24" s="8" t="inlineStr"/>
    </row>
    <row r="25">
      <c r="A25" s="19" t="inlineStr">
        <is>
          <t>Conference</t>
        </is>
      </c>
      <c r="B25" s="19" t="inlineStr">
        <is>
          <t>Registration source</t>
        </is>
      </c>
      <c r="C25" s="19" t="inlineStr">
        <is>
          <t>Hotel</t>
        </is>
      </c>
    </row>
    <row r="26">
      <c r="A26" t="inlineStr">
        <is>
          <t>UPMUNC – Penn – deleg $95 / del $110 / hotel $200 (USD)</t>
        </is>
      </c>
      <c r="B26" t="inlineStr">
        <is>
          <t>upmunc.org/conference-registration</t>
        </is>
      </c>
      <c r="C26" t="inlineStr">
        <is>
          <t>Element/W Philadelphia Downtown</t>
        </is>
      </c>
    </row>
    <row r="27">
      <c r="A27" t="inlineStr">
        <is>
          <t>CIAC – Cornell – deleg $75 / del $90 / hotel $149 (USD)</t>
        </is>
      </c>
      <c r="B27" t="inlineStr">
        <is>
          <t>ciaconline.org/register</t>
        </is>
      </c>
      <c r="C27" t="inlineStr">
        <is>
          <t>Cayuga Blu Hotel, Ithaca ($149 incl bkfst)</t>
        </is>
      </c>
    </row>
    <row r="28">
      <c r="A28" t="inlineStr">
        <is>
          <t>NCSC – Georgetown – deleg $90 / del $110 / hotel $366 (USD)</t>
        </is>
      </c>
      <c r="B28" t="inlineStr">
        <is>
          <t>ncsc.modelun.org/registration</t>
        </is>
      </c>
      <c r="C28" t="inlineStr">
        <is>
          <t>Washington Hilton (Dupont Circle)</t>
        </is>
      </c>
    </row>
    <row r="29">
      <c r="A29" t="inlineStr">
        <is>
          <t>UNCMUNC – UNC – deleg $100 / del $105 / hotel $140 (USD)</t>
        </is>
      </c>
      <c r="B29" t="inlineStr">
        <is>
          <t>uncmunc.org/registration</t>
        </is>
      </c>
      <c r="C29" t="inlineStr">
        <is>
          <t>No block – 3-star Chapel Hill ~$140</t>
        </is>
      </c>
    </row>
    <row r="30">
      <c r="A30" t="inlineStr">
        <is>
          <t>McMUN – McGill – deleg $80 / del $125 / hotel $234 (CAD)</t>
        </is>
      </c>
      <c r="B30" t="inlineStr">
        <is>
          <t>mcmun.org (2027 fee table TBD)</t>
        </is>
      </c>
      <c r="C30" t="inlineStr">
        <is>
          <t>Le Centre Sheraton, quad $234 CAD</t>
        </is>
      </c>
    </row>
    <row r="31">
      <c r="A31" t="inlineStr">
        <is>
          <t>BUCKMUN – Ohio State – deleg $75 / del $75 / hotel $150 (USD)</t>
        </is>
      </c>
      <c r="B31" t="inlineStr">
        <is>
          <t>buckmun.com (fees TBD – buckmun@ccwaosu.org)</t>
        </is>
      </c>
      <c r="C31" t="inlineStr">
        <is>
          <t>Hyatt Place Columbus/OSU ~$150</t>
        </is>
      </c>
    </row>
    <row r="32">
      <c r="A32" t="inlineStr">
        <is>
          <t>ConMUN – Concordia – deleg $100 / del $125 / hotel $229 (CAD)</t>
        </is>
      </c>
      <c r="B32" t="inlineStr">
        <is>
          <t>conmun.org/en/registration (2026 figs)</t>
        </is>
      </c>
      <c r="C32" t="inlineStr">
        <is>
          <t>DoubleTree by Hilton Montreal $229 CAD</t>
        </is>
      </c>
    </row>
    <row r="33">
      <c r="A33" t="inlineStr">
        <is>
          <t>ChoMUN – UChicago – deleg $50 / del $110 / hotel $201 (USD)</t>
        </is>
      </c>
      <c r="B33" t="inlineStr">
        <is>
          <t>chomun.org/registration</t>
        </is>
      </c>
      <c r="C33" t="inlineStr">
        <is>
          <t>Palmer House Hilton ($201/quad)</t>
        </is>
      </c>
    </row>
    <row r="34">
      <c r="A34" t="inlineStr">
        <is>
          <t>VICS – UVA – deleg $85 / del $105 / hotel $189 (USD)</t>
        </is>
      </c>
      <c r="B34" t="inlineStr">
        <is>
          <t>iro-vics.org / iro-vics.app</t>
        </is>
      </c>
      <c r="C34" t="inlineStr">
        <is>
          <t>Hampton/Draftsman/Fairfield ($169-222)</t>
        </is>
      </c>
    </row>
    <row r="35">
      <c r="A35" t="inlineStr"/>
      <c r="B35" t="inlineStr"/>
      <c r="C35" t="inlineStr"/>
    </row>
    <row r="36">
      <c r="A36" s="8" t="inlineStr">
        <is>
          <t>HOTEL SOURCING QUALITY</t>
        </is>
      </c>
      <c r="B36" s="8" t="inlineStr"/>
      <c r="C36" s="8" t="inlineStr"/>
    </row>
    <row r="37">
      <c r="A37" t="inlineStr">
        <is>
          <t>Actual published block rate</t>
        </is>
      </c>
      <c r="B37" t="inlineStr">
        <is>
          <t>ChoMUN $201, VICS $189, McMUN $234, ConMUN $229</t>
        </is>
      </c>
      <c r="C37" t="inlineStr">
        <is>
          <t>CIAC $149 = prior-year block</t>
        </is>
      </c>
    </row>
    <row r="38">
      <c r="A38" t="inlineStr">
        <is>
          <t>Proxy at known host hotel</t>
        </is>
      </c>
      <c r="B38" t="inlineStr">
        <is>
          <t>NCSC $366 (Georgetown group rate), UPMUNC $200</t>
        </is>
      </c>
      <c r="C38" t="inlineStr"/>
    </row>
    <row r="39">
      <c r="A39" t="inlineStr">
        <is>
          <t>Open-market estimate (no block exists)</t>
        </is>
      </c>
      <c r="B39" t="inlineStr">
        <is>
          <t>BUCKMUN $150, UNCMUNC $140</t>
        </is>
      </c>
      <c r="C39" t="inlineStr"/>
    </row>
    <row r="40">
      <c r="A40" t="inlineStr"/>
      <c r="B40" t="inlineStr"/>
      <c r="C40" t="inlineStr"/>
    </row>
    <row r="41">
      <c r="A41" s="8" t="inlineStr">
        <is>
          <t>FLAGS / TO CONFIRM</t>
        </is>
      </c>
      <c r="B41" s="8" t="inlineStr"/>
      <c r="C41" s="8" t="inlineStr"/>
    </row>
    <row r="42">
      <c r="A42" t="inlineStr">
        <is>
          <t>McMUN 2027 per-del fee</t>
        </is>
      </c>
      <c r="B42" t="inlineStr">
        <is>
          <t>table unposted; used $125 CAD est</t>
        </is>
      </c>
      <c r="C42" t="inlineStr">
        <is>
          <t>finance@mcmun.org</t>
        </is>
      </c>
    </row>
    <row r="43">
      <c r="A43" t="inlineStr">
        <is>
          <t>ConMUN 2027 dates+fees</t>
        </is>
      </c>
      <c r="B43" t="inlineStr">
        <is>
          <t>2026 figures used</t>
        </is>
      </c>
      <c r="C43" t="inlineStr">
        <is>
          <t>conmun.org</t>
        </is>
      </c>
    </row>
    <row r="44">
      <c r="A44" t="inlineStr">
        <is>
          <t>BUCKMUN inaugural</t>
        </is>
      </c>
      <c r="B44" t="inlineStr">
        <is>
          <t>fees estimated</t>
        </is>
      </c>
      <c r="C44" t="inlineStr">
        <is>
          <t>buckmun@ccwaosu.org</t>
        </is>
      </c>
    </row>
    <row r="45">
      <c r="A45" t="inlineStr">
        <is>
          <t>UPMUNC Oct 15-18</t>
        </is>
      </c>
      <c r="B45" t="inlineStr">
        <is>
          <t>unusual (usually Nov)</t>
        </is>
      </c>
      <c r="C45" t="inlineStr">
        <is>
          <t>reconfirm</t>
        </is>
      </c>
    </row>
    <row r="46">
      <c r="A46" t="inlineStr">
        <is>
          <t>CIAC delegates 11+ free</t>
        </is>
      </c>
      <c r="B46" t="inlineStr">
        <is>
          <t>12-del pays for 10</t>
        </is>
      </c>
      <c r="C46" t="inlineStr"/>
    </row>
    <row r="47">
      <c r="A47" t="inlineStr">
        <is>
          <t>Communauto: 1 account per car</t>
        </is>
      </c>
      <c r="B47" t="inlineStr">
        <is>
          <t>credit limit + driver rule</t>
        </is>
      </c>
      <c r="C47" t="inlineStr">
        <is>
          <t>8 del=2, 12 del=3 accounts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4" customWidth="1" min="5" max="5"/>
    <col width="11" customWidth="1" min="6" max="6"/>
  </cols>
  <sheetData>
    <row r="1">
      <c r="A1" s="11" t="inlineStr">
        <is>
          <t>TRANSPORT OPTIONS – US drive confs only (Communauto), total CAD</t>
        </is>
      </c>
    </row>
    <row r="2">
      <c r="A2" s="2" t="inlineStr">
        <is>
          <t>A=Communauto OPEN (free plan). B=Rental van(s). C=Communauto VALUE + Long Distance (used in budget; needs $5/mo plan + bond).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8" t="inlineStr">
        <is>
          <t>— 8 DELEGATES (2 Commauto cars / 1 van) —</t>
        </is>
      </c>
      <c r="B4" s="8" t="inlineStr"/>
      <c r="C4" s="8" t="inlineStr"/>
      <c r="D4" s="8" t="inlineStr"/>
      <c r="E4" s="8" t="inlineStr"/>
      <c r="F4" s="8" t="inlineStr"/>
    </row>
    <row r="5">
      <c r="A5" s="12" t="inlineStr">
        <is>
          <t>Conference</t>
        </is>
      </c>
      <c r="B5" s="12" t="inlineStr">
        <is>
          <t>RT km</t>
        </is>
      </c>
      <c r="C5" s="12" t="inlineStr">
        <is>
          <t>A: Open</t>
        </is>
      </c>
      <c r="D5" s="12" t="inlineStr">
        <is>
          <t>B: Van</t>
        </is>
      </c>
      <c r="E5" s="12" t="inlineStr">
        <is>
          <t>C: Value+LD</t>
        </is>
      </c>
      <c r="F5" s="12" t="inlineStr">
        <is>
          <t>Cheapest</t>
        </is>
      </c>
    </row>
    <row r="6">
      <c r="A6" t="inlineStr">
        <is>
          <t>UPMUNC – Penn</t>
        </is>
      </c>
      <c r="B6" t="inlineStr">
        <is>
          <t>1234</t>
        </is>
      </c>
      <c r="C6" t="inlineStr">
        <is>
          <t>$1,467</t>
        </is>
      </c>
      <c r="D6" t="inlineStr">
        <is>
          <t>$942</t>
        </is>
      </c>
      <c r="E6" t="inlineStr">
        <is>
          <t>$1,020</t>
        </is>
      </c>
      <c r="F6" t="inlineStr">
        <is>
          <t>Van</t>
        </is>
      </c>
    </row>
    <row r="7">
      <c r="A7" t="inlineStr">
        <is>
          <t>CIAC – Cornell</t>
        </is>
      </c>
      <c r="B7" t="inlineStr">
        <is>
          <t>594</t>
        </is>
      </c>
      <c r="C7" t="inlineStr">
        <is>
          <t>$975</t>
        </is>
      </c>
      <c r="D7" t="inlineStr">
        <is>
          <t>$802</t>
        </is>
      </c>
      <c r="E7" t="inlineStr">
        <is>
          <t>$745</t>
        </is>
      </c>
      <c r="F7" t="inlineStr">
        <is>
          <t>Value-LD</t>
        </is>
      </c>
    </row>
    <row r="8">
      <c r="A8" t="inlineStr">
        <is>
          <t>NCSC – Georgetown</t>
        </is>
      </c>
      <c r="B8" t="inlineStr">
        <is>
          <t>1628</t>
        </is>
      </c>
      <c r="C8" t="inlineStr">
        <is>
          <t>$1,770</t>
        </is>
      </c>
      <c r="D8" t="inlineStr">
        <is>
          <t>$1,003</t>
        </is>
      </c>
      <c r="E8" t="inlineStr">
        <is>
          <t>$1,189</t>
        </is>
      </c>
      <c r="F8" t="inlineStr">
        <is>
          <t>Van</t>
        </is>
      </c>
    </row>
    <row r="9">
      <c r="A9" t="inlineStr">
        <is>
          <t>BUCKMUN – Ohio State</t>
        </is>
      </c>
      <c r="B9" t="inlineStr">
        <is>
          <t>1902</t>
        </is>
      </c>
      <c r="C9" t="inlineStr">
        <is>
          <t>$2,104</t>
        </is>
      </c>
      <c r="D9" t="inlineStr">
        <is>
          <t>$1,072</t>
        </is>
      </c>
      <c r="E9" t="inlineStr">
        <is>
          <t>$1,391</t>
        </is>
      </c>
      <c r="F9" t="inlineStr">
        <is>
          <t>Van</t>
        </is>
      </c>
    </row>
    <row r="10">
      <c r="A10" t="inlineStr">
        <is>
          <t>ChoMUN – UChicago</t>
        </is>
      </c>
      <c r="B10" t="inlineStr">
        <is>
          <t>2176</t>
        </is>
      </c>
      <c r="C10" t="inlineStr">
        <is>
          <t>$2,315</t>
        </is>
      </c>
      <c r="D10" t="inlineStr">
        <is>
          <t>$1,142</t>
        </is>
      </c>
      <c r="E10" t="inlineStr">
        <is>
          <t>$1,508</t>
        </is>
      </c>
      <c r="F10" t="inlineStr">
        <is>
          <t>Van</t>
        </is>
      </c>
    </row>
    <row r="11">
      <c r="A11" t="inlineStr">
        <is>
          <t>VICS – UVA</t>
        </is>
      </c>
      <c r="B11" t="inlineStr">
        <is>
          <t>2000</t>
        </is>
      </c>
      <c r="C11" t="inlineStr">
        <is>
          <t>$2,180</t>
        </is>
      </c>
      <c r="D11" t="inlineStr">
        <is>
          <t>$1,065</t>
        </is>
      </c>
      <c r="E11" t="inlineStr">
        <is>
          <t>$1,433</t>
        </is>
      </c>
      <c r="F11" t="inlineStr">
        <is>
          <t>Van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8" t="inlineStr">
        <is>
          <t>— 12 DELEGATES (3 Commauto cars / 2 van) —</t>
        </is>
      </c>
      <c r="B13" s="8" t="inlineStr"/>
      <c r="C13" s="8" t="inlineStr"/>
      <c r="D13" s="8" t="inlineStr"/>
      <c r="E13" s="8" t="inlineStr"/>
      <c r="F13" s="8" t="inlineStr"/>
    </row>
    <row r="14">
      <c r="A14" s="12" t="inlineStr">
        <is>
          <t>Conference</t>
        </is>
      </c>
      <c r="B14" s="12" t="inlineStr">
        <is>
          <t>RT km</t>
        </is>
      </c>
      <c r="C14" s="12" t="inlineStr">
        <is>
          <t>A: Open</t>
        </is>
      </c>
      <c r="D14" s="12" t="inlineStr">
        <is>
          <t>B: Van</t>
        </is>
      </c>
      <c r="E14" s="12" t="inlineStr">
        <is>
          <t>C: Value+LD</t>
        </is>
      </c>
      <c r="F14" s="12" t="inlineStr">
        <is>
          <t>Cheapest</t>
        </is>
      </c>
    </row>
    <row r="15">
      <c r="A15" t="inlineStr">
        <is>
          <t>UPMUNC – Penn</t>
        </is>
      </c>
      <c r="B15" t="inlineStr">
        <is>
          <t>1234</t>
        </is>
      </c>
      <c r="C15" t="inlineStr">
        <is>
          <t>$2,200</t>
        </is>
      </c>
      <c r="D15" t="inlineStr">
        <is>
          <t>$1,884</t>
        </is>
      </c>
      <c r="E15" t="inlineStr">
        <is>
          <t>$1,530</t>
        </is>
      </c>
      <c r="F15" t="inlineStr">
        <is>
          <t>Value-LD</t>
        </is>
      </c>
    </row>
    <row r="16">
      <c r="A16" t="inlineStr">
        <is>
          <t>CIAC – Cornell</t>
        </is>
      </c>
      <c r="B16" t="inlineStr">
        <is>
          <t>594</t>
        </is>
      </c>
      <c r="C16" t="inlineStr">
        <is>
          <t>$1,463</t>
        </is>
      </c>
      <c r="D16" t="inlineStr">
        <is>
          <t>$1,604</t>
        </is>
      </c>
      <c r="E16" t="inlineStr">
        <is>
          <t>$1,118</t>
        </is>
      </c>
      <c r="F16" t="inlineStr">
        <is>
          <t>Value-LD</t>
        </is>
      </c>
    </row>
    <row r="17">
      <c r="A17" t="inlineStr">
        <is>
          <t>NCSC – Georgetown</t>
        </is>
      </c>
      <c r="B17" t="inlineStr">
        <is>
          <t>1628</t>
        </is>
      </c>
      <c r="C17" t="inlineStr">
        <is>
          <t>$2,654</t>
        </is>
      </c>
      <c r="D17" t="inlineStr">
        <is>
          <t>$2,006</t>
        </is>
      </c>
      <c r="E17" t="inlineStr">
        <is>
          <t>$1,784</t>
        </is>
      </c>
      <c r="F17" t="inlineStr">
        <is>
          <t>Value-LD</t>
        </is>
      </c>
    </row>
    <row r="18">
      <c r="A18" t="inlineStr">
        <is>
          <t>BUCKMUN – Ohio State</t>
        </is>
      </c>
      <c r="B18" t="inlineStr">
        <is>
          <t>1902</t>
        </is>
      </c>
      <c r="C18" t="inlineStr">
        <is>
          <t>$3,157</t>
        </is>
      </c>
      <c r="D18" t="inlineStr">
        <is>
          <t>$2,145</t>
        </is>
      </c>
      <c r="E18" t="inlineStr">
        <is>
          <t>$2,086</t>
        </is>
      </c>
      <c r="F18" t="inlineStr">
        <is>
          <t>Value-LD</t>
        </is>
      </c>
    </row>
    <row r="19">
      <c r="A19" t="inlineStr">
        <is>
          <t>ChoMUN – UChicago</t>
        </is>
      </c>
      <c r="B19" t="inlineStr">
        <is>
          <t>2176</t>
        </is>
      </c>
      <c r="C19" t="inlineStr">
        <is>
          <t>$3,473</t>
        </is>
      </c>
      <c r="D19" t="inlineStr">
        <is>
          <t>$2,283</t>
        </is>
      </c>
      <c r="E19" t="inlineStr">
        <is>
          <t>$2,263</t>
        </is>
      </c>
      <c r="F19" t="inlineStr">
        <is>
          <t>Value-LD</t>
        </is>
      </c>
    </row>
    <row r="20">
      <c r="A20" t="inlineStr">
        <is>
          <t>VICS – UVA</t>
        </is>
      </c>
      <c r="B20" t="inlineStr">
        <is>
          <t>2000</t>
        </is>
      </c>
      <c r="C20" t="inlineStr">
        <is>
          <t>$3,270</t>
        </is>
      </c>
      <c r="D20" t="inlineStr">
        <is>
          <t>$2,130</t>
        </is>
      </c>
      <c r="E20" t="inlineStr">
        <is>
          <t>$2,149</t>
        </is>
      </c>
      <c r="F20" t="inlineStr">
        <is>
          <t>Van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10" t="inlineStr">
        <is>
          <t>READ-OUT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• Open never wins and can't clear its own $500 credit limit on long trips. Value+LD used in budget.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• At 8 del a single van is cheapest; at 12 del Value+LD (3 small cars on Long Distance) edges 2 vans.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• Montreal confs (McMUN/ConMUN) use Megabus $110 CAD RT/delegate – not shown here.</t>
        </is>
      </c>
      <c r="B25" t="inlineStr"/>
      <c r="C25" t="inlineStr"/>
      <c r="D25" t="inlineStr"/>
      <c r="E25" t="inlineStr"/>
      <c r="F2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18" customWidth="1" min="4" max="4"/>
    <col width="40" customWidth="1" min="5" max="5"/>
  </cols>
  <sheetData>
    <row r="1">
      <c r="A1" s="20" t="inlineStr">
        <is>
          <t>PAYMENT TIMELINE – Selected Slate (6 confs)  ·  today: Jun 10, 2026</t>
        </is>
      </c>
    </row>
    <row r="2">
      <c r="A2" s="2" t="inlineStr">
        <is>
          <t>Chronological money + action schedule. Amounts = budgeted (regular-window) fees. Register in EARLY/PRIORITY windows to save ~$10-15/del where noted.</t>
        </is>
      </c>
    </row>
    <row r="3">
      <c r="A3" t="inlineStr"/>
      <c r="B3" t="inlineStr"/>
      <c r="C3" t="inlineStr"/>
      <c r="D3" t="inlineStr"/>
      <c r="E3" t="inlineStr"/>
    </row>
    <row r="4">
      <c r="A4" s="12" t="inlineStr">
        <is>
          <t>When</t>
        </is>
      </c>
      <c r="B4" s="12" t="inlineStr">
        <is>
          <t>Conference</t>
        </is>
      </c>
      <c r="C4" s="12" t="inlineStr">
        <is>
          <t>Action / Milestone</t>
        </is>
      </c>
      <c r="D4" s="12" t="inlineStr">
        <is>
          <t>Amount due</t>
        </is>
      </c>
      <c r="E4" s="12" t="inlineStr">
        <is>
          <t>Notes</t>
        </is>
      </c>
    </row>
    <row r="5">
      <c r="A5" s="21" t="inlineStr">
        <is>
          <t>PHASE 1 — REGISTER EARLY (lock rates, pay delegation deposits)</t>
        </is>
      </c>
      <c r="B5" s="4" t="n"/>
      <c r="C5" s="4" t="n"/>
      <c r="D5" s="22" t="n"/>
      <c r="E5" s="5" t="n"/>
    </row>
    <row r="6">
      <c r="A6" s="4" t="inlineStr">
        <is>
          <t>now → Aug 23, 2026</t>
        </is>
      </c>
      <c r="B6" s="4" t="inlineStr">
        <is>
          <t>NCSC</t>
        </is>
      </c>
      <c r="C6" s="4" t="inlineStr">
        <is>
          <t>Register (Regular window) + delegation deposit</t>
        </is>
      </c>
      <c r="D6" s="22" t="inlineStr">
        <is>
          <t>$90 USD</t>
        </is>
      </c>
      <c r="E6" s="5" t="inlineStr">
        <is>
          <t>Priority closed Apr 26; deposit non-refundable</t>
        </is>
      </c>
    </row>
    <row r="7">
      <c r="A7" s="4" t="inlineStr">
        <is>
          <t>now → Jul 31, 2026</t>
        </is>
      </c>
      <c r="B7" s="4" t="inlineStr">
        <is>
          <t>CIAC</t>
        </is>
      </c>
      <c r="C7" s="4" t="inlineStr">
        <is>
          <t>Register (Early) + delegation deposit</t>
        </is>
      </c>
      <c r="D7" s="22" t="inlineStr">
        <is>
          <t>$75 USD</t>
        </is>
      </c>
      <c r="E7" s="5" t="inlineStr">
        <is>
          <t>Early locks $80/del vs $90; delegates 11+ free</t>
        </is>
      </c>
    </row>
    <row r="8">
      <c r="A8" s="4" t="inlineStr">
        <is>
          <t>Jun 1 → Sep 6, 2026</t>
        </is>
      </c>
      <c r="B8" s="4" t="inlineStr">
        <is>
          <t>ChoMUN</t>
        </is>
      </c>
      <c r="C8" s="4" t="inlineStr">
        <is>
          <t>Register (Priority) + delegation deposit</t>
        </is>
      </c>
      <c r="D8" s="22" t="inlineStr">
        <is>
          <t>$50 USD</t>
        </is>
      </c>
      <c r="E8" s="5" t="inlineStr">
        <is>
          <t>First-time-school discount; locks $95/del priority</t>
        </is>
      </c>
    </row>
    <row r="9">
      <c r="A9" s="4" t="inlineStr">
        <is>
          <t>summer → Sep 2026</t>
        </is>
      </c>
      <c r="B9" s="4" t="inlineStr">
        <is>
          <t>McMUN</t>
        </is>
      </c>
      <c r="C9" s="4" t="inlineStr">
        <is>
          <t>Register when 2027 portal opens + deposit</t>
        </is>
      </c>
      <c r="D9" s="22" t="inlineStr">
        <is>
          <t>$80 CAD</t>
        </is>
      </c>
      <c r="E9" s="5" t="inlineStr">
        <is>
          <t>Watch mcmun.org; priority wave cheapest</t>
        </is>
      </c>
    </row>
    <row r="10">
      <c r="A10" s="4" t="inlineStr">
        <is>
          <t>~Sep 2026</t>
        </is>
      </c>
      <c r="B10" s="4" t="inlineStr">
        <is>
          <t>ConMUN</t>
        </is>
      </c>
      <c r="C10" s="4" t="inlineStr">
        <is>
          <t>Register (Early) + delegation deposit</t>
        </is>
      </c>
      <c r="D10" s="22" t="inlineStr">
        <is>
          <t>$100 CAD</t>
        </is>
      </c>
      <c r="E10" s="5" t="inlineStr">
        <is>
          <t>2027 portal TBD; early ~$110/del</t>
        </is>
      </c>
    </row>
    <row r="11">
      <c r="A11" s="21" t="inlineStr">
        <is>
          <t>PHASE 2 — SET UP TRANSPORT (before first trip, Oct 2026)</t>
        </is>
      </c>
      <c r="B11" s="4" t="n"/>
      <c r="C11" s="4" t="n"/>
      <c r="D11" s="22" t="n"/>
      <c r="E11" s="5" t="n"/>
    </row>
    <row r="12">
      <c r="A12" s="4" t="inlineStr">
        <is>
          <t>by mid-Oct 2026</t>
        </is>
      </c>
      <c r="B12" s="4" t="inlineStr">
        <is>
          <t>Communauto</t>
        </is>
      </c>
      <c r="C12" s="4" t="inlineStr">
        <is>
          <t>Open 3 Value accounts ($5/mo) + post bonds</t>
        </is>
      </c>
      <c r="D12" s="22" t="inlineStr">
        <is>
          <t>$1,500 CAD</t>
        </is>
      </c>
      <c r="E12" s="5" t="inlineStr">
        <is>
          <t>Bonds REFUNDABLE; lifts credit limit to $1,000/acct</t>
        </is>
      </c>
    </row>
    <row r="13">
      <c r="A13" s="21" t="inlineStr">
        <is>
          <t>PHASE 3 — FALL CONFERENCES</t>
        </is>
      </c>
      <c r="B13" s="4" t="n"/>
      <c r="C13" s="4" t="n"/>
      <c r="D13" s="22" t="n"/>
      <c r="E13" s="5" t="n"/>
    </row>
    <row r="14">
      <c r="A14" s="4" t="inlineStr">
        <is>
          <t>by Oct 7, 2026</t>
        </is>
      </c>
      <c r="B14" s="4" t="inlineStr">
        <is>
          <t>NCSC</t>
        </is>
      </c>
      <c r="C14" s="4" t="inlineStr">
        <is>
          <t>Final delegate payment due</t>
        </is>
      </c>
      <c r="D14" s="22" t="inlineStr">
        <is>
          <t>$880 USD</t>
        </is>
      </c>
      <c r="E14" s="5" t="inlineStr">
        <is>
          <t>8 x $110; hard payment deadline</t>
        </is>
      </c>
    </row>
    <row r="15">
      <c r="A15" s="4" t="inlineStr">
        <is>
          <t>by Oct 9, 2026</t>
        </is>
      </c>
      <c r="B15" s="4" t="inlineStr">
        <is>
          <t>CIAC</t>
        </is>
      </c>
      <c r="C15" s="4" t="inlineStr">
        <is>
          <t>Late reg closes / balance due</t>
        </is>
      </c>
      <c r="D15" s="22" t="inlineStr">
        <is>
          <t>$900 USD</t>
        </is>
      </c>
      <c r="E15" s="5" t="inlineStr">
        <is>
          <t>10 x $90 (12 del, 2 free)</t>
        </is>
      </c>
    </row>
    <row r="16">
      <c r="A16" s="6" t="inlineStr">
        <is>
          <t>Oct 22-25, 2026</t>
        </is>
      </c>
      <c r="B16" s="23" t="inlineStr">
        <is>
          <t>CIAC</t>
        </is>
      </c>
      <c r="C16" s="6" t="inlineStr">
        <is>
          <t>CONFERENCE — Communauto trip + hotel</t>
        </is>
      </c>
      <c r="D16" s="23" t="inlineStr">
        <is>
          <t>~$1,463 CAD</t>
        </is>
      </c>
      <c r="E16" s="7" t="inlineStr">
        <is>
          <t>+ hotel $1,341 USD to Cayuga Blu</t>
        </is>
      </c>
    </row>
    <row r="17">
      <c r="A17" s="6" t="inlineStr">
        <is>
          <t>Nov 5-8, 2026</t>
        </is>
      </c>
      <c r="B17" s="23" t="inlineStr">
        <is>
          <t>NCSC</t>
        </is>
      </c>
      <c r="C17" s="6" t="inlineStr">
        <is>
          <t>CONFERENCE — Communauto trip + hotel</t>
        </is>
      </c>
      <c r="D17" s="23" t="inlineStr">
        <is>
          <t>~$1,770 CAD</t>
        </is>
      </c>
      <c r="E17" s="7" t="inlineStr">
        <is>
          <t>+ hotel $2,196 USD to Washington Hilton</t>
        </is>
      </c>
    </row>
    <row r="18">
      <c r="A18" s="21" t="inlineStr">
        <is>
          <t>PHASE 4 — WINTER / SPRING CONFERENCES</t>
        </is>
      </c>
      <c r="B18" s="4" t="n"/>
      <c r="C18" s="4" t="n"/>
      <c r="D18" s="22" t="n"/>
      <c r="E18" s="5" t="n"/>
    </row>
    <row r="19">
      <c r="A19" s="4" t="inlineStr">
        <is>
          <t>by ~Dec 25, 2026</t>
        </is>
      </c>
      <c r="B19" s="4" t="inlineStr">
        <is>
          <t>McMUN</t>
        </is>
      </c>
      <c r="C19" s="4" t="inlineStr">
        <is>
          <t>Hotel block cutoff (Le Centre Sheraton)</t>
        </is>
      </c>
      <c r="D19" s="22" t="inlineStr">
        <is>
          <t>$3,510 CAD</t>
        </is>
      </c>
      <c r="E19" s="5" t="inlineStr">
        <is>
          <t>5 rms x 3 nts x $234; reconfirm 2027 cutoff date</t>
        </is>
      </c>
    </row>
    <row r="20">
      <c r="A20" s="4" t="inlineStr">
        <is>
          <t>by ~late Dec 2026</t>
        </is>
      </c>
      <c r="B20" s="4" t="inlineStr">
        <is>
          <t>McMUN</t>
        </is>
      </c>
      <c r="C20" s="4" t="inlineStr">
        <is>
          <t>Book Megabus (~1 mo out) + final delegate pay</t>
        </is>
      </c>
      <c r="D20" s="22" t="inlineStr">
        <is>
          <t>$2,200 + $2,500 CAD</t>
        </is>
      </c>
      <c r="E20" s="5" t="inlineStr">
        <is>
          <t>Bus 20x$110; del fees 20x$125 (est)</t>
        </is>
      </c>
    </row>
    <row r="21">
      <c r="A21" s="4" t="inlineStr">
        <is>
          <t>Jan 10, 2027</t>
        </is>
      </c>
      <c r="B21" s="4" t="inlineStr">
        <is>
          <t>ChoMUN</t>
        </is>
      </c>
      <c r="C21" s="4" t="inlineStr">
        <is>
          <t>Regular registration closes</t>
        </is>
      </c>
      <c r="D21" s="22" t="inlineStr">
        <is>
          <t>—</t>
        </is>
      </c>
      <c r="E21" s="5" t="inlineStr">
        <is>
          <t>Late window after = higher per-del fee</t>
        </is>
      </c>
    </row>
    <row r="22">
      <c r="A22" s="4" t="inlineStr">
        <is>
          <t>Jan 19, 2027</t>
        </is>
      </c>
      <c r="B22" s="4" t="inlineStr">
        <is>
          <t>VICS</t>
        </is>
      </c>
      <c r="C22" s="4" t="inlineStr">
        <is>
          <t>Delegate fees refundable until this date</t>
        </is>
      </c>
      <c r="D22" s="22" t="inlineStr">
        <is>
          <t>—</t>
        </is>
      </c>
      <c r="E22" s="5" t="inlineStr">
        <is>
          <t>After: owed in full even if you withdraw</t>
        </is>
      </c>
    </row>
    <row r="23">
      <c r="A23" s="6" t="inlineStr">
        <is>
          <t>Jan 28-31, 2027</t>
        </is>
      </c>
      <c r="B23" s="23" t="inlineStr">
        <is>
          <t>McMUN</t>
        </is>
      </c>
      <c r="C23" s="6" t="inlineStr">
        <is>
          <t>CONFERENCE — Megabus + hotel</t>
        </is>
      </c>
      <c r="D23" s="23" t="inlineStr">
        <is>
          <t>(paid above)</t>
        </is>
      </c>
      <c r="E23" s="7" t="inlineStr">
        <is>
          <t>Sheraton, Montreal</t>
        </is>
      </c>
    </row>
    <row r="24">
      <c r="A24" s="4" t="inlineStr">
        <is>
          <t>by ~Feb 2027</t>
        </is>
      </c>
      <c r="B24" s="4" t="inlineStr">
        <is>
          <t>ConMUN</t>
        </is>
      </c>
      <c r="C24" s="4" t="inlineStr">
        <is>
          <t>Book Megabus + final delegate payment</t>
        </is>
      </c>
      <c r="D24" s="22" t="inlineStr">
        <is>
          <t>$2,200 + $2,500 CAD</t>
        </is>
      </c>
      <c r="E24" s="5" t="inlineStr">
        <is>
          <t>Hotel $3,435 CAD to DoubleTree</t>
        </is>
      </c>
    </row>
    <row r="25">
      <c r="A25" s="4" t="inlineStr">
        <is>
          <t>Mar 1, 2027</t>
        </is>
      </c>
      <c r="B25" s="4" t="inlineStr">
        <is>
          <t>VICS</t>
        </is>
      </c>
      <c r="C25" s="4" t="inlineStr">
        <is>
          <t>Late registration closes</t>
        </is>
      </c>
      <c r="D25" s="22" t="inlineStr">
        <is>
          <t>—</t>
        </is>
      </c>
      <c r="E25" s="5" t="inlineStr">
        <is>
          <t>VICS 31 dates/windows TBD — verify</t>
        </is>
      </c>
    </row>
    <row r="26">
      <c r="A26" s="4" t="inlineStr">
        <is>
          <t>Mar 5, 2027</t>
        </is>
      </c>
      <c r="B26" s="4" t="inlineStr">
        <is>
          <t>ChoMUN</t>
        </is>
      </c>
      <c r="C26" s="4" t="inlineStr">
        <is>
          <t>Payment deadline</t>
        </is>
      </c>
      <c r="D26" s="22" t="inlineStr">
        <is>
          <t>$880 USD</t>
        </is>
      </c>
      <c r="E26" s="5" t="inlineStr">
        <is>
          <t>8 x $110; +5% if paying by credit card</t>
        </is>
      </c>
    </row>
    <row r="27">
      <c r="A27" s="6" t="inlineStr">
        <is>
          <t>Mar 11-14, 2027</t>
        </is>
      </c>
      <c r="B27" s="23" t="inlineStr">
        <is>
          <t>ConMUN</t>
        </is>
      </c>
      <c r="C27" s="6" t="inlineStr">
        <is>
          <t>CONFERENCE — Megabus + hotel</t>
        </is>
      </c>
      <c r="D27" s="23" t="inlineStr">
        <is>
          <t>(paid above)</t>
        </is>
      </c>
      <c r="E27" s="7" t="inlineStr">
        <is>
          <t>DoubleTree, Montreal (2027 dates TBD)</t>
        </is>
      </c>
    </row>
    <row r="28">
      <c r="A28" s="6" t="inlineStr">
        <is>
          <t>Mar 25-28, 2027</t>
        </is>
      </c>
      <c r="B28" s="23" t="inlineStr">
        <is>
          <t>ChoMUN</t>
        </is>
      </c>
      <c r="C28" s="6" t="inlineStr">
        <is>
          <t>CONFERENCE — Communauto + hotel</t>
        </is>
      </c>
      <c r="D28" s="23" t="inlineStr">
        <is>
          <t>~$2,315 CAD</t>
        </is>
      </c>
      <c r="E28" s="7" t="inlineStr">
        <is>
          <t>+ hotel $1,206 USD to Palmer House</t>
        </is>
      </c>
    </row>
    <row r="29">
      <c r="A29" s="6" t="inlineStr">
        <is>
          <t>Mar 25-28, 2027</t>
        </is>
      </c>
      <c r="B29" s="23" t="inlineStr">
        <is>
          <t>VICS</t>
        </is>
      </c>
      <c r="C29" s="6" t="inlineStr">
        <is>
          <t>CONFERENCE — Communauto + hotel + balance</t>
        </is>
      </c>
      <c r="D29" s="23" t="inlineStr">
        <is>
          <t>~$3,270 CAD</t>
        </is>
      </c>
      <c r="E29" s="7" t="inlineStr">
        <is>
          <t>+ del fees $1,260 USD + hotel $1,701 USD</t>
        </is>
      </c>
    </row>
    <row r="30">
      <c r="A30" s="24" t="inlineStr">
        <is>
          <t>AFTER SEASON</t>
        </is>
      </c>
      <c r="B30" s="24" t="inlineStr">
        <is>
          <t>Communauto</t>
        </is>
      </c>
      <c r="C30" s="24" t="inlineStr">
        <is>
          <t>Reclaim 3 x $500 bonds</t>
        </is>
      </c>
      <c r="D30" s="25" t="inlineStr">
        <is>
          <t>+$1,500 CAD</t>
        </is>
      </c>
      <c r="E30" s="26" t="inlineStr">
        <is>
          <t>Refundable after 1 yr (3 mo notice)</t>
        </is>
      </c>
    </row>
  </sheetData>
  <mergeCells count="6">
    <mergeCell ref="A2:E2"/>
    <mergeCell ref="A11:E11"/>
    <mergeCell ref="A1:E1"/>
    <mergeCell ref="A5:E5"/>
    <mergeCell ref="A13:E13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0" customWidth="1" min="4" max="4"/>
    <col width="15" customWidth="1" min="5" max="5"/>
    <col width="40" customWidth="1" min="6" max="6"/>
  </cols>
  <sheetData>
    <row r="1">
      <c r="A1" s="11" t="inlineStr">
        <is>
          <t>RAIL SCREEN – can we take the train instead of driving/flying?  (excl. McMUN/ConMUN, which use Megabus)</t>
        </is>
      </c>
    </row>
    <row r="2" ht="28" customHeight="1">
      <c r="A2" s="27" t="inlineStr">
        <is>
          <t>Verdict: NON-STARTER for all US confs. Kingston has NO Amtrak — every trip = VIA Rail to a gateway + Amtrak cross-border, which forces 1-2 hotel overnights before you reach the US. Sourced June 2026.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8" t="inlineStr">
        <is>
          <t>THE STRUCTURAL KILLER</t>
        </is>
      </c>
      <c r="B4" s="8" t="inlineStr"/>
      <c r="C4" s="8" t="inlineStr"/>
      <c r="D4" s="8" t="inlineStr"/>
      <c r="E4" s="8" t="inlineStr"/>
      <c r="F4" s="8" t="inlineStr"/>
    </row>
    <row r="5">
      <c r="A5" t="inlineStr">
        <is>
          <t>• Only cross-border trains: Maple Leaf (Toronto&gt;NYC) &amp; Adirondack (Montreal&gt;NYC) — both ~12-13h incl. ~2h border stop.</t>
        </is>
      </c>
      <c r="B5" t="inlineStr"/>
      <c r="C5" t="inlineStr"/>
      <c r="D5" t="inlineStr"/>
      <c r="E5" t="inlineStr"/>
      <c r="F5" t="inlineStr"/>
    </row>
    <row r="6">
      <c r="A6" t="inlineStr">
        <is>
          <t>• Both depart their Canadian gateway in the MORNING and arrive NYC at NIGHT — too late for any same-day southbound leg.</t>
        </is>
      </c>
      <c r="B6" t="inlineStr"/>
      <c r="C6" t="inlineStr"/>
      <c r="D6" t="inlineStr"/>
      <c r="E6" t="inlineStr"/>
      <c r="F6" t="inlineStr"/>
    </row>
    <row r="7">
      <c r="A7" t="inlineStr">
        <is>
          <t>• Result: a Toronto/Montreal overnight before the US, then a 2nd NYC overnight before going south. No US conf reachable by train in under 2 days.</t>
        </is>
      </c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s="12" t="inlineStr">
        <is>
          <t>Conference</t>
        </is>
      </c>
      <c r="B9" s="12" t="inlineStr">
        <is>
          <t>City</t>
        </is>
      </c>
      <c r="C9" s="12" t="inlineStr">
        <is>
          <t>Current plan</t>
        </is>
      </c>
      <c r="D9" s="12" t="inlineStr">
        <is>
          <t>Best train (moving time)</t>
        </is>
      </c>
      <c r="E9" s="12" t="inlineStr">
        <is>
          <t>Rail fare ~1-way</t>
        </is>
      </c>
      <c r="F9" s="12" t="inlineStr">
        <is>
          <t>Verdict</t>
        </is>
      </c>
    </row>
    <row r="10" ht="28" customHeight="1">
      <c r="A10" s="4" t="inlineStr">
        <is>
          <t>CIAC</t>
        </is>
      </c>
      <c r="B10" s="4" t="inlineStr">
        <is>
          <t>Ithaca, NY</t>
        </is>
      </c>
      <c r="C10" s="4" t="inlineStr">
        <is>
          <t>Drive 3.5h</t>
        </is>
      </c>
      <c r="D10" s="5" t="inlineStr">
        <is>
          <t>No rail to city — nearest Amtrak is Syracuse + 60 mi by car</t>
        </is>
      </c>
      <c r="E10" s="4" t="inlineStr">
        <is>
          <t>n/a</t>
        </is>
      </c>
      <c r="F10" s="28" t="inlineStr">
        <is>
          <t>ABSURD — Ithaca has zero Amtrak service</t>
        </is>
      </c>
    </row>
    <row r="11" ht="28" customHeight="1">
      <c r="A11" s="4" t="inlineStr">
        <is>
          <t>UPMUNC</t>
        </is>
      </c>
      <c r="B11" s="4" t="inlineStr">
        <is>
          <t>Philadelphia, PA</t>
        </is>
      </c>
      <c r="C11" s="4" t="inlineStr">
        <is>
          <t>Drive 6.5h</t>
        </is>
      </c>
      <c r="D11" s="5" t="inlineStr">
        <is>
          <t>~16h, 2 transfers</t>
        </is>
      </c>
      <c r="E11" s="4" t="inlineStr">
        <is>
          <t>US$185-210</t>
        </is>
      </c>
      <c r="F11" s="5" t="inlineStr">
        <is>
          <t>Non-starter (1-2 overnights each way)</t>
        </is>
      </c>
    </row>
    <row r="12" ht="28" customHeight="1">
      <c r="A12" s="4" t="inlineStr">
        <is>
          <t>NCSC</t>
        </is>
      </c>
      <c r="B12" s="4" t="inlineStr">
        <is>
          <t>Washington, DC</t>
        </is>
      </c>
      <c r="C12" s="4" t="inlineStr">
        <is>
          <t>Drive 8h</t>
        </is>
      </c>
      <c r="D12" s="5" t="inlineStr">
        <is>
          <t>~18h, 2 transfers</t>
        </is>
      </c>
      <c r="E12" s="4" t="inlineStr">
        <is>
          <t>US$200-230</t>
        </is>
      </c>
      <c r="F12" s="5" t="inlineStr">
        <is>
          <t>Non-starter (1-2 overnights each way)</t>
        </is>
      </c>
    </row>
    <row r="13" ht="28" customHeight="1">
      <c r="A13" s="4" t="inlineStr">
        <is>
          <t>BUCKMUN</t>
        </is>
      </c>
      <c r="B13" s="4" t="inlineStr">
        <is>
          <t>Columbus, OH</t>
        </is>
      </c>
      <c r="C13" s="4" t="inlineStr">
        <is>
          <t>Drive 9h</t>
        </is>
      </c>
      <c r="D13" s="5" t="inlineStr">
        <is>
          <t>No rail to city at all</t>
        </is>
      </c>
      <c r="E13" s="4" t="inlineStr">
        <is>
          <t>n/a</t>
        </is>
      </c>
      <c r="F13" s="28" t="inlineStr">
        <is>
          <t>IMPOSSIBLE — Columbus has zero Amtrak (largest US metro w/ none)</t>
        </is>
      </c>
    </row>
    <row r="14" ht="28" customHeight="1">
      <c r="A14" s="4" t="inlineStr">
        <is>
          <t>CHOMUN</t>
        </is>
      </c>
      <c r="B14" s="4" t="inlineStr">
        <is>
          <t>Chicago, IL</t>
        </is>
      </c>
      <c r="C14" s="4" t="inlineStr">
        <is>
          <t>Drive 10h</t>
        </is>
      </c>
      <c r="D14" s="5" t="inlineStr">
        <is>
          <t>~34h, 3 transfers</t>
        </is>
      </c>
      <c r="E14" s="4" t="inlineStr">
        <is>
          <t>US$300+</t>
        </is>
      </c>
      <c r="F14" s="5" t="inlineStr">
        <is>
          <t>Non-starter (2 hotels + on-train overnight)</t>
        </is>
      </c>
    </row>
    <row r="15" ht="28" customHeight="1">
      <c r="A15" s="4" t="inlineStr">
        <is>
          <t>VICS</t>
        </is>
      </c>
      <c r="B15" s="4" t="inlineStr">
        <is>
          <t>Charlottesville, VA</t>
        </is>
      </c>
      <c r="C15" s="4" t="inlineStr">
        <is>
          <t>Drive 11-13h</t>
        </is>
      </c>
      <c r="D15" s="5" t="inlineStr">
        <is>
          <t>~22-26h, 2-3 transfers</t>
        </is>
      </c>
      <c r="E15" s="4" t="inlineStr">
        <is>
          <t>US$215-250</t>
        </is>
      </c>
      <c r="F15" s="5" t="inlineStr">
        <is>
          <t>Non-starter (closest call; drive is also brutal)</t>
        </is>
      </c>
    </row>
    <row r="16" ht="28" customHeight="1">
      <c r="A16" s="4" t="inlineStr">
        <is>
          <t>UNCMUNC</t>
        </is>
      </c>
      <c r="B16" s="4" t="inlineStr">
        <is>
          <t>Durham/Raleigh, NC</t>
        </is>
      </c>
      <c r="C16" s="4" t="inlineStr">
        <is>
          <t>Fly $425 RT</t>
        </is>
      </c>
      <c r="D16" s="5" t="inlineStr">
        <is>
          <t>~26h, 3 transfers</t>
        </is>
      </c>
      <c r="E16" s="4" t="inlineStr">
        <is>
          <t>~US$240 (~$480 RT)</t>
        </is>
      </c>
      <c r="F16" s="5" t="inlineStr">
        <is>
          <t>Non-starter — RT fare ~matches flight, +4 hotel nights &amp; ~5x the time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s="8" t="inlineStr">
        <is>
          <t>REFERENCE LEGS (verified 2026)</t>
        </is>
      </c>
      <c r="B18" s="8" t="inlineStr"/>
      <c r="C18" s="8" t="inlineStr"/>
      <c r="D18" s="8" t="inlineStr"/>
      <c r="E18" s="8" t="inlineStr"/>
      <c r="F18" s="8" t="inlineStr"/>
    </row>
    <row r="19">
      <c r="A19" t="inlineStr">
        <is>
          <t>VIA Rail Kingston&gt;Toronto</t>
        </is>
      </c>
      <c r="B19" t="inlineStr">
        <is>
          <t>~2h</t>
        </is>
      </c>
      <c r="C19" t="inlineStr">
        <is>
          <t>~C$44-65 econ</t>
        </is>
      </c>
      <c r="D19" t="inlineStr">
        <is>
          <t>Frequent daily corridor service</t>
        </is>
      </c>
      <c r="E19" t="inlineStr"/>
      <c r="F19" t="inlineStr"/>
    </row>
    <row r="20">
      <c r="A20" t="inlineStr">
        <is>
          <t>VIA Rail Kingston&gt;Montreal</t>
        </is>
      </c>
      <c r="B20" t="inlineStr">
        <is>
          <t>~2.5h</t>
        </is>
      </c>
      <c r="C20" t="inlineStr">
        <is>
          <t>~C$30-70 econ</t>
        </is>
      </c>
      <c r="D20" t="inlineStr"/>
      <c r="E20" t="inlineStr"/>
      <c r="F20" t="inlineStr"/>
    </row>
    <row r="21">
      <c r="A21" t="inlineStr">
        <is>
          <t>Amtrak Maple Leaf Toronto&gt;NYC</t>
        </is>
      </c>
      <c r="B21" t="inlineStr">
        <is>
          <t>~12-13h</t>
        </is>
      </c>
      <c r="C21" t="inlineStr">
        <is>
          <t>~US$90-150</t>
        </is>
      </c>
      <c r="D21" t="inlineStr">
        <is>
          <t>Dep Toronto 08:20, arr NY Penn ~21:15; ~2h border @ Niagara. Running 2026.</t>
        </is>
      </c>
      <c r="E21" t="inlineStr"/>
      <c r="F21" t="inlineStr"/>
    </row>
    <row r="22">
      <c r="A22" t="inlineStr">
        <is>
          <t>Amtrak Adirondack Montreal&gt;NYC</t>
        </is>
      </c>
      <c r="B22" t="inlineStr">
        <is>
          <t>~11-12h</t>
        </is>
      </c>
      <c r="C22" t="inlineStr">
        <is>
          <t>~US$70-130</t>
        </is>
      </c>
      <c r="D22" t="inlineStr">
        <is>
          <t>Resumed after 2023-24 suspension; running 2026.</t>
        </is>
      </c>
      <c r="E22" t="inlineStr"/>
      <c r="F22" t="inlineStr"/>
    </row>
    <row r="23">
      <c r="A23" t="inlineStr">
        <is>
          <t>Amtrak NE Regional NYC&gt;DC / &gt;Philadelphia</t>
        </is>
      </c>
      <c r="B23" t="inlineStr">
        <is>
          <t>3.5h / 1.5h</t>
        </is>
      </c>
      <c r="C23" t="inlineStr">
        <is>
          <t>from US$20 / US$25</t>
        </is>
      </c>
      <c r="D23" t="inlineStr">
        <is>
          <t>Frequent same-day once on the NEC</t>
        </is>
      </c>
      <c r="E23" t="inlineStr"/>
      <c r="F23" t="inlineStr"/>
    </row>
    <row r="24">
      <c r="A24" t="inlineStr">
        <is>
          <t>Amtrak Lake Shore Limited NYC&gt;Chicago</t>
        </is>
      </c>
      <c r="B24" t="inlineStr">
        <is>
          <t>~19-20h</t>
        </is>
      </c>
      <c r="C24" t="inlineStr">
        <is>
          <t>from US$172</t>
        </is>
      </c>
      <c r="D24" t="inlineStr">
        <is>
          <t>Dep NY 15:40 — hours before Maple Leaf arrives, so no same-day connect</t>
        </is>
      </c>
      <c r="E24" t="inlineStr"/>
      <c r="F24" t="inlineStr"/>
    </row>
    <row r="25">
      <c r="A25" t="inlineStr">
        <is>
          <t>Amtrak Carolinian NYC/DC&gt;Durham NC</t>
        </is>
      </c>
      <c r="B25" t="inlineStr">
        <is>
          <t>~11-13h / ~7h</t>
        </is>
      </c>
      <c r="C25" t="inlineStr">
        <is>
          <t>from US$86 / US$59</t>
        </is>
      </c>
      <c r="D25" t="inlineStr">
        <is>
          <t>One-seat ride; the NC end is good, the Kingston&gt;NEC end is the problem</t>
        </is>
      </c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s="8" t="inlineStr">
        <is>
          <t>TWO NEAR-MISSES (still rejected)</t>
        </is>
      </c>
      <c r="B27" s="8" t="inlineStr"/>
      <c r="C27" s="8" t="inlineStr"/>
      <c r="D27" s="8" t="inlineStr"/>
      <c r="E27" s="8" t="inlineStr"/>
      <c r="F27" s="8" t="inlineStr"/>
    </row>
    <row r="28">
      <c r="A28" t="inlineStr">
        <is>
          <t>• UNCMUNC: NC end is great (Carolinian one-seat to Durham), but RT rail ~= the $425 flight and adds ~4 hotel nights + days of transit. Fly stays correct.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• VICS: only one where rail's downside shrinks — because a 13h drive is itself miserable. Still 2 overnights each way. Not viable for a student team.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s="29" t="inlineStr">
        <is>
          <t>NET: nothing changes in the budget. Communauto wins the close US trips, flying wins UNCMUNC, Megabus wins Montreal. Rail beats none of them.</t>
        </is>
      </c>
      <c r="B31" s="30" t="inlineStr"/>
      <c r="C31" s="30" t="inlineStr"/>
      <c r="D31" s="30" t="inlineStr"/>
      <c r="E31" s="30" t="inlineStr"/>
      <c r="F31" s="3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1" t="inlineStr">
        <is>
          <t>DELEGATE FEES – what charging each delegate $X to attend covers  ·  Selected Slate (6 confs, 80 delegate-trips)</t>
        </is>
      </c>
    </row>
    <row r="2" ht="26" customHeight="1">
      <c r="A2" s="31" t="inlineStr">
        <is>
          <t>NET = fee x delegates − club's all-in cost for that conference (reg + hotel + travel +10%). NEGATIVE (red) = club still subsidizes; POSITIVE (green) = surplus. CAD.</t>
        </is>
      </c>
      <c r="K2" t="inlineStr"/>
    </row>
    <row r="3">
      <c r="A3" s="2" t="inlineStr">
        <is>
          <t>Break-even col = the per-delegate fee that exactly covers THAT conference. For reference, Jack has paid ~$300-450/conf as a delegate in prior years.</t>
        </is>
      </c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 ht="26" customHeight="1">
      <c r="A5" s="3" t="inlineStr">
        <is>
          <t>Conference</t>
        </is>
      </c>
      <c r="B5" s="3" t="inlineStr">
        <is>
          <t>Del</t>
        </is>
      </c>
      <c r="C5" s="3" t="inlineStr">
        <is>
          <t>Club cost (CAD)</t>
        </is>
      </c>
      <c r="D5" s="3" t="inlineStr">
        <is>
          <t>Break-even /del</t>
        </is>
      </c>
      <c r="E5" s="3" t="inlineStr">
        <is>
          <t>Net @ $100</t>
        </is>
      </c>
      <c r="F5" s="3" t="inlineStr">
        <is>
          <t>Net @ $200</t>
        </is>
      </c>
      <c r="G5" s="3" t="inlineStr">
        <is>
          <t>Net @ $250</t>
        </is>
      </c>
      <c r="H5" s="3" t="inlineStr">
        <is>
          <t>Net @ $300</t>
        </is>
      </c>
      <c r="I5" s="3" t="inlineStr">
        <is>
          <t>Net @ $350</t>
        </is>
      </c>
      <c r="J5" s="3" t="inlineStr">
        <is>
          <t>Net @ $400</t>
        </is>
      </c>
    </row>
    <row r="6">
      <c r="A6" s="4" t="inlineStr">
        <is>
          <t>NCSC – Georgetown</t>
        </is>
      </c>
      <c r="B6" s="4" t="n">
        <v>8</v>
      </c>
      <c r="C6" s="4" t="inlineStr">
        <is>
          <t>$6,149</t>
        </is>
      </c>
      <c r="D6" s="4" t="inlineStr">
        <is>
          <t>$769</t>
        </is>
      </c>
      <c r="E6" s="32" t="inlineStr">
        <is>
          <t>-$5,349</t>
        </is>
      </c>
      <c r="F6" s="32" t="inlineStr">
        <is>
          <t>-$4,549</t>
        </is>
      </c>
      <c r="G6" s="32" t="inlineStr">
        <is>
          <t>-$4,149</t>
        </is>
      </c>
      <c r="H6" s="32" t="inlineStr">
        <is>
          <t>-$3,749</t>
        </is>
      </c>
      <c r="I6" s="32" t="inlineStr">
        <is>
          <t>-$3,349</t>
        </is>
      </c>
      <c r="J6" s="32" t="inlineStr">
        <is>
          <t>-$2,949</t>
        </is>
      </c>
    </row>
    <row r="7">
      <c r="A7" s="4" t="inlineStr">
        <is>
          <t>CIAC – Cornell</t>
        </is>
      </c>
      <c r="B7" s="4" t="n">
        <v>12</v>
      </c>
      <c r="C7" s="4" t="inlineStr">
        <is>
          <t>$4,771</t>
        </is>
      </c>
      <c r="D7" s="4" t="inlineStr">
        <is>
          <t>$398</t>
        </is>
      </c>
      <c r="E7" s="32" t="inlineStr">
        <is>
          <t>-$3,571</t>
        </is>
      </c>
      <c r="F7" s="32" t="inlineStr">
        <is>
          <t>-$2,371</t>
        </is>
      </c>
      <c r="G7" s="32" t="inlineStr">
        <is>
          <t>-$1,771</t>
        </is>
      </c>
      <c r="H7" s="32" t="inlineStr">
        <is>
          <t>-$1,171</t>
        </is>
      </c>
      <c r="I7" s="32" t="inlineStr">
        <is>
          <t>-$571</t>
        </is>
      </c>
      <c r="J7" s="24" t="inlineStr">
        <is>
          <t>$29</t>
        </is>
      </c>
    </row>
    <row r="8">
      <c r="A8" s="4" t="inlineStr">
        <is>
          <t>VICS – UVA</t>
        </is>
      </c>
      <c r="B8" s="4" t="n">
        <v>12</v>
      </c>
      <c r="C8" s="4" t="inlineStr">
        <is>
          <t>$7,022</t>
        </is>
      </c>
      <c r="D8" s="4" t="inlineStr">
        <is>
          <t>$585</t>
        </is>
      </c>
      <c r="E8" s="32" t="inlineStr">
        <is>
          <t>-$5,822</t>
        </is>
      </c>
      <c r="F8" s="32" t="inlineStr">
        <is>
          <t>-$4,622</t>
        </is>
      </c>
      <c r="G8" s="32" t="inlineStr">
        <is>
          <t>-$4,022</t>
        </is>
      </c>
      <c r="H8" s="32" t="inlineStr">
        <is>
          <t>-$3,422</t>
        </is>
      </c>
      <c r="I8" s="32" t="inlineStr">
        <is>
          <t>-$2,822</t>
        </is>
      </c>
      <c r="J8" s="32" t="inlineStr">
        <is>
          <t>-$2,222</t>
        </is>
      </c>
    </row>
    <row r="9">
      <c r="A9" s="4" t="inlineStr">
        <is>
          <t>ChoMUN – UChicago</t>
        </is>
      </c>
      <c r="B9" s="4" t="n">
        <v>8</v>
      </c>
      <c r="C9" s="4" t="inlineStr">
        <is>
          <t>$4,925</t>
        </is>
      </c>
      <c r="D9" s="4" t="inlineStr">
        <is>
          <t>$616</t>
        </is>
      </c>
      <c r="E9" s="32" t="inlineStr">
        <is>
          <t>-$4,125</t>
        </is>
      </c>
      <c r="F9" s="32" t="inlineStr">
        <is>
          <t>-$3,325</t>
        </is>
      </c>
      <c r="G9" s="32" t="inlineStr">
        <is>
          <t>-$2,925</t>
        </is>
      </c>
      <c r="H9" s="32" t="inlineStr">
        <is>
          <t>-$2,525</t>
        </is>
      </c>
      <c r="I9" s="32" t="inlineStr">
        <is>
          <t>-$2,125</t>
        </is>
      </c>
      <c r="J9" s="32" t="inlineStr">
        <is>
          <t>-$1,725</t>
        </is>
      </c>
    </row>
    <row r="10">
      <c r="A10" s="4" t="inlineStr">
        <is>
          <t>McMUN – McGill</t>
        </is>
      </c>
      <c r="B10" s="4" t="n">
        <v>20</v>
      </c>
      <c r="C10" s="4" t="inlineStr">
        <is>
          <t>$9,119</t>
        </is>
      </c>
      <c r="D10" s="4" t="inlineStr">
        <is>
          <t>$456</t>
        </is>
      </c>
      <c r="E10" s="32" t="inlineStr">
        <is>
          <t>-$7,119</t>
        </is>
      </c>
      <c r="F10" s="32" t="inlineStr">
        <is>
          <t>-$5,119</t>
        </is>
      </c>
      <c r="G10" s="32" t="inlineStr">
        <is>
          <t>-$4,119</t>
        </is>
      </c>
      <c r="H10" s="32" t="inlineStr">
        <is>
          <t>-$3,119</t>
        </is>
      </c>
      <c r="I10" s="32" t="inlineStr">
        <is>
          <t>-$2,119</t>
        </is>
      </c>
      <c r="J10" s="32" t="inlineStr">
        <is>
          <t>-$1,119</t>
        </is>
      </c>
    </row>
    <row r="11">
      <c r="A11" s="4" t="inlineStr">
        <is>
          <t>ConMUN – Concordia</t>
        </is>
      </c>
      <c r="B11" s="4" t="n">
        <v>20</v>
      </c>
      <c r="C11" s="4" t="inlineStr">
        <is>
          <t>$9,058</t>
        </is>
      </c>
      <c r="D11" s="4" t="inlineStr">
        <is>
          <t>$453</t>
        </is>
      </c>
      <c r="E11" s="32" t="inlineStr">
        <is>
          <t>-$7,058</t>
        </is>
      </c>
      <c r="F11" s="32" t="inlineStr">
        <is>
          <t>-$5,058</t>
        </is>
      </c>
      <c r="G11" s="32" t="inlineStr">
        <is>
          <t>-$4,058</t>
        </is>
      </c>
      <c r="H11" s="32" t="inlineStr">
        <is>
          <t>-$3,058</t>
        </is>
      </c>
      <c r="I11" s="32" t="inlineStr">
        <is>
          <t>-$2,058</t>
        </is>
      </c>
      <c r="J11" s="32" t="inlineStr">
        <is>
          <t>-$1,058</t>
        </is>
      </c>
    </row>
    <row r="12">
      <c r="A12" s="33" t="inlineStr">
        <is>
          <t>+ Communauto subscriptions</t>
        </is>
      </c>
      <c r="B12" s="33" t="inlineStr"/>
      <c r="C12" s="33" t="inlineStr">
        <is>
          <t>$180</t>
        </is>
      </c>
      <c r="D12" s="33" t="inlineStr"/>
      <c r="E12" s="33" t="inlineStr"/>
      <c r="F12" s="33" t="inlineStr"/>
      <c r="G12" s="33" t="inlineStr"/>
      <c r="H12" s="33" t="inlineStr"/>
      <c r="I12" s="33" t="inlineStr"/>
      <c r="J12" s="33" t="inlineStr"/>
    </row>
    <row r="13">
      <c r="A13" s="34" t="inlineStr">
        <is>
          <t>TOTAL (slate)</t>
        </is>
      </c>
      <c r="B13" s="34" t="n">
        <v>80</v>
      </c>
      <c r="C13" s="34" t="inlineStr">
        <is>
          <t>$41,225</t>
        </is>
      </c>
      <c r="D13" s="34" t="inlineStr">
        <is>
          <t>$515</t>
        </is>
      </c>
      <c r="E13" s="34" t="inlineStr">
        <is>
          <t>-$33,225</t>
        </is>
      </c>
      <c r="F13" s="34" t="inlineStr">
        <is>
          <t>-$25,225</t>
        </is>
      </c>
      <c r="G13" s="34" t="inlineStr">
        <is>
          <t>-$21,225</t>
        </is>
      </c>
      <c r="H13" s="34" t="inlineStr">
        <is>
          <t>-$17,225</t>
        </is>
      </c>
      <c r="I13" s="34" t="inlineStr">
        <is>
          <t>-$13,225</t>
        </is>
      </c>
      <c r="J13" s="34" t="inlineStr">
        <is>
          <t>-$9,225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8" t="inlineStr">
        <is>
          <t>REVENUE vs COST AT A FLAT FEE (whole slate)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12" t="inlineStr">
        <is>
          <t>Flat fee / delegate</t>
        </is>
      </c>
      <c r="B16" s="12" t="inlineStr">
        <is>
          <t>Total revenue (80 del)</t>
        </is>
      </c>
      <c r="C16" s="12" t="inlineStr">
        <is>
          <t>Slate cost</t>
        </is>
      </c>
      <c r="D16" s="12" t="inlineStr">
        <is>
          <t>Surplus / (shortfall)</t>
        </is>
      </c>
      <c r="E16" s="12" t="inlineStr">
        <is>
          <t>% of cost covered</t>
        </is>
      </c>
      <c r="F16" t="inlineStr"/>
      <c r="G16" t="inlineStr"/>
      <c r="H16" t="inlineStr"/>
      <c r="I16" t="inlineStr"/>
      <c r="J16" t="inlineStr"/>
    </row>
    <row r="17">
      <c r="A17" s="4" t="inlineStr">
        <is>
          <t>$100</t>
        </is>
      </c>
      <c r="B17" s="4" t="inlineStr">
        <is>
          <t>$8,000</t>
        </is>
      </c>
      <c r="C17" s="4" t="inlineStr">
        <is>
          <t>$41,225</t>
        </is>
      </c>
      <c r="D17" s="22" t="inlineStr">
        <is>
          <t>-$33,225</t>
        </is>
      </c>
      <c r="E17" s="4" t="inlineStr">
        <is>
          <t>19%</t>
        </is>
      </c>
      <c r="F17" t="inlineStr"/>
      <c r="G17" t="inlineStr"/>
      <c r="H17" t="inlineStr"/>
      <c r="I17" t="inlineStr"/>
      <c r="J17" t="inlineStr"/>
    </row>
    <row r="18">
      <c r="A18" s="4" t="inlineStr">
        <is>
          <t>$200</t>
        </is>
      </c>
      <c r="B18" s="4" t="inlineStr">
        <is>
          <t>$16,000</t>
        </is>
      </c>
      <c r="C18" s="4" t="inlineStr">
        <is>
          <t>$41,225</t>
        </is>
      </c>
      <c r="D18" s="22" t="inlineStr">
        <is>
          <t>-$25,225</t>
        </is>
      </c>
      <c r="E18" s="4" t="inlineStr">
        <is>
          <t>39%</t>
        </is>
      </c>
      <c r="F18" t="inlineStr"/>
      <c r="G18" t="inlineStr"/>
      <c r="H18" t="inlineStr"/>
      <c r="I18" t="inlineStr"/>
      <c r="J18" t="inlineStr"/>
    </row>
    <row r="19">
      <c r="A19" s="4" t="inlineStr">
        <is>
          <t>$250</t>
        </is>
      </c>
      <c r="B19" s="4" t="inlineStr">
        <is>
          <t>$20,000</t>
        </is>
      </c>
      <c r="C19" s="4" t="inlineStr">
        <is>
          <t>$41,225</t>
        </is>
      </c>
      <c r="D19" s="22" t="inlineStr">
        <is>
          <t>-$21,225</t>
        </is>
      </c>
      <c r="E19" s="4" t="inlineStr">
        <is>
          <t>49%</t>
        </is>
      </c>
      <c r="F19" t="inlineStr"/>
      <c r="G19" t="inlineStr"/>
      <c r="H19" t="inlineStr"/>
      <c r="I19" t="inlineStr"/>
      <c r="J19" t="inlineStr"/>
    </row>
    <row r="20">
      <c r="A20" s="4" t="inlineStr">
        <is>
          <t>$300</t>
        </is>
      </c>
      <c r="B20" s="4" t="inlineStr">
        <is>
          <t>$24,000</t>
        </is>
      </c>
      <c r="C20" s="4" t="inlineStr">
        <is>
          <t>$41,225</t>
        </is>
      </c>
      <c r="D20" s="22" t="inlineStr">
        <is>
          <t>-$17,225</t>
        </is>
      </c>
      <c r="E20" s="4" t="inlineStr">
        <is>
          <t>58%</t>
        </is>
      </c>
      <c r="F20" t="inlineStr"/>
      <c r="G20" t="inlineStr"/>
      <c r="H20" t="inlineStr"/>
      <c r="I20" t="inlineStr"/>
      <c r="J20" t="inlineStr"/>
    </row>
    <row r="21">
      <c r="A21" s="4" t="inlineStr">
        <is>
          <t>$350</t>
        </is>
      </c>
      <c r="B21" s="4" t="inlineStr">
        <is>
          <t>$28,000</t>
        </is>
      </c>
      <c r="C21" s="4" t="inlineStr">
        <is>
          <t>$41,225</t>
        </is>
      </c>
      <c r="D21" s="22" t="inlineStr">
        <is>
          <t>-$13,225</t>
        </is>
      </c>
      <c r="E21" s="4" t="inlineStr">
        <is>
          <t>68%</t>
        </is>
      </c>
      <c r="F21" t="inlineStr"/>
      <c r="G21" t="inlineStr"/>
      <c r="H21" t="inlineStr"/>
      <c r="I21" t="inlineStr"/>
      <c r="J21" t="inlineStr"/>
    </row>
    <row r="22">
      <c r="A22" s="4" t="inlineStr">
        <is>
          <t>$400</t>
        </is>
      </c>
      <c r="B22" s="4" t="inlineStr">
        <is>
          <t>$32,000</t>
        </is>
      </c>
      <c r="C22" s="4" t="inlineStr">
        <is>
          <t>$41,225</t>
        </is>
      </c>
      <c r="D22" s="22" t="inlineStr">
        <is>
          <t>-$9,225</t>
        </is>
      </c>
      <c r="E22" s="4" t="inlineStr">
        <is>
          <t>78%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 ht="42" customHeight="1">
      <c r="A24" s="35" t="inlineStr">
        <is>
          <t>BOTTOM LINE: a flat fee fully covers the slate only at ~$515/delegate. At $300 the club still raises $17,225; at $400, $9,225. The Montreal/cheap-headcount confs throw off surplus that offsets the expensive flying/long-drive ones.</t>
        </is>
      </c>
    </row>
    <row r="25" ht="30" customHeight="1">
      <c r="A25" s="27" t="inlineStr">
        <is>
          <t>NOTE: fee levels are GROSS to the club — they do NOT change any cost above; they show how much delegate revenue offsets the program. Tiering (charge more for pricier trips) would close the gap at a lower average fee; ask if you want that modelled.</t>
        </is>
      </c>
    </row>
  </sheetData>
  <mergeCells count="5">
    <mergeCell ref="A1:J1"/>
    <mergeCell ref="A3:J3"/>
    <mergeCell ref="A24:J24"/>
    <mergeCell ref="A2:J2"/>
    <mergeCell ref="A25:J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2" max="2"/>
    <col width="14" customWidth="1" min="3" max="3"/>
  </cols>
  <sheetData>
    <row r="1" ht="22" customHeight="1">
      <c r="A1" s="11" t="inlineStr">
        <is>
          <t>OPERATING BUDGET 2026-27 – non-conference, full year  ·  club size ~60-100</t>
        </is>
      </c>
    </row>
    <row r="2" ht="26" customHeight="1">
      <c r="A2" s="31" t="inlineStr">
        <is>
          <t>The year's running costs OUTSIDE conference travel. Formal is fully club-funded (no ticket charge). CAD. The conference program lives on the other tabs.</t>
        </is>
      </c>
    </row>
    <row r="3">
      <c r="A3" t="inlineStr"/>
      <c r="B3" t="inlineStr"/>
      <c r="C3" t="inlineStr"/>
    </row>
    <row r="4">
      <c r="A4" s="12" t="inlineStr">
        <is>
          <t>Category / Line item</t>
        </is>
      </c>
      <c r="B4" s="12" t="inlineStr">
        <is>
          <t>Basis</t>
        </is>
      </c>
      <c r="C4" s="12" t="inlineStr">
        <is>
          <t>Cost (CAD)</t>
        </is>
      </c>
    </row>
    <row r="5">
      <c r="A5" s="8" t="inlineStr">
        <is>
          <t>SOCIALS &amp; FORMAL  (trimmed 40%)</t>
        </is>
      </c>
      <c r="B5" s="8" t="inlineStr"/>
      <c r="C5" s="8" t="inlineStr"/>
    </row>
    <row r="6">
      <c r="A6" t="inlineStr">
        <is>
          <t xml:space="preserve">   Welcome / clubs-fair recruitment social</t>
        </is>
      </c>
      <c r="B6" t="inlineStr">
        <is>
          <t>~80 ppl · venue + light food</t>
        </is>
      </c>
      <c r="C6" t="inlineStr">
        <is>
          <t>$240</t>
        </is>
      </c>
    </row>
    <row r="7">
      <c r="A7" t="inlineStr">
        <is>
          <t xml:space="preserve">   Fall bonding mixer</t>
        </is>
      </c>
      <c r="B7" t="inlineStr">
        <is>
          <t>team social night</t>
        </is>
      </c>
      <c r="C7" t="inlineStr">
        <is>
          <t>$150</t>
        </is>
      </c>
    </row>
    <row r="8">
      <c r="A8" t="inlineStr">
        <is>
          <t xml:space="preserve">   Winter mixer</t>
        </is>
      </c>
      <c r="B8" t="inlineStr">
        <is>
          <t>team social night</t>
        </is>
      </c>
      <c r="C8" t="inlineStr">
        <is>
          <t>$150</t>
        </is>
      </c>
    </row>
    <row r="9">
      <c r="A9" t="inlineStr">
        <is>
          <t xml:space="preserve">   Year-end formal / awards banquet</t>
        </is>
      </c>
      <c r="B9" t="inlineStr">
        <is>
          <t>~80 guests · leaner venue/catering (no ticket charge)</t>
        </is>
      </c>
      <c r="C9" t="inlineStr">
        <is>
          <t>$2,640</t>
        </is>
      </c>
    </row>
    <row r="10">
      <c r="A10" t="inlineStr">
        <is>
          <t xml:space="preserve">   Exec appreciation / transition dinner</t>
        </is>
      </c>
      <c r="B10" t="inlineStr">
        <is>
          <t>~12 execs</t>
        </is>
      </c>
      <c r="C10" t="inlineStr">
        <is>
          <t>$180</t>
        </is>
      </c>
    </row>
    <row r="11">
      <c r="A11" s="8" t="inlineStr">
        <is>
          <t>MERCH &amp; MARKETING</t>
        </is>
      </c>
      <c r="B11" s="8" t="inlineStr"/>
      <c r="C11" s="8" t="inlineStr"/>
    </row>
    <row r="12">
      <c r="A12" t="inlineStr">
        <is>
          <t xml:space="preserve">   Branded banner + tablecloth</t>
        </is>
      </c>
      <c r="B12" t="inlineStr">
        <is>
          <t>one-time, reusable</t>
        </is>
      </c>
      <c r="C12" t="inlineStr">
        <is>
          <t>$300</t>
        </is>
      </c>
    </row>
    <row r="13">
      <c r="A13" t="inlineStr">
        <is>
          <t xml:space="preserve">   Recruitment promo</t>
        </is>
      </c>
      <c r="B13" t="inlineStr">
        <is>
          <t>posters, business cards, stickers, clubs fair</t>
        </is>
      </c>
      <c r="C13" t="inlineStr">
        <is>
          <t>$200</t>
        </is>
      </c>
    </row>
    <row r="14">
      <c r="A14" t="inlineStr">
        <is>
          <t xml:space="preserve">   Website domain + hosting</t>
        </is>
      </c>
      <c r="B14" t="inlineStr">
        <is>
          <t>annual</t>
        </is>
      </c>
      <c r="C14" t="inlineStr">
        <is>
          <t>$100</t>
        </is>
      </c>
    </row>
    <row r="15">
      <c r="A15" t="inlineStr">
        <is>
          <t xml:space="preserve">   Team apparel</t>
        </is>
      </c>
      <c r="B15" t="inlineStr">
        <is>
          <t>bulk order, sold AT COST to members (cash-neutral)</t>
        </is>
      </c>
      <c r="C15" t="inlineStr">
        <is>
          <t>$0</t>
        </is>
      </c>
    </row>
    <row r="16">
      <c r="A16" s="8" t="inlineStr">
        <is>
          <t>ADMIN &amp; AWARDS</t>
        </is>
      </c>
      <c r="B16" s="8" t="inlineStr"/>
      <c r="C16" s="8" t="inlineStr"/>
    </row>
    <row r="17">
      <c r="A17" t="inlineStr">
        <is>
          <t xml:space="preserve">   AMS ratification / club registration</t>
        </is>
      </c>
      <c r="B17" t="inlineStr">
        <is>
          <t>annual</t>
        </is>
      </c>
      <c r="C17" t="inlineStr">
        <is>
          <t>$50</t>
        </is>
      </c>
    </row>
    <row r="18">
      <c r="A18" t="inlineStr">
        <is>
          <t xml:space="preserve">   Payment-processing fees</t>
        </is>
      </c>
      <c r="B18" t="inlineStr">
        <is>
          <t>Square ~2.9% on delegate-fee collection</t>
        </is>
      </c>
      <c r="C18" t="inlineStr">
        <is>
          <t>$150</t>
        </is>
      </c>
    </row>
    <row r="19">
      <c r="A19" t="inlineStr">
        <is>
          <t xml:space="preserve">   Banquet awards / gavels</t>
        </is>
      </c>
      <c r="B19" t="inlineStr">
        <is>
          <t>superlatives at the year-end formal</t>
        </is>
      </c>
      <c r="C19" t="inlineStr">
        <is>
          <t>$200</t>
        </is>
      </c>
    </row>
    <row r="20">
      <c r="A20" t="inlineStr">
        <is>
          <t xml:space="preserve">   Misc / office supplies</t>
        </is>
      </c>
      <c r="B20" t="inlineStr"/>
      <c r="C20" t="inlineStr">
        <is>
          <t>$100</t>
        </is>
      </c>
    </row>
    <row r="21">
      <c r="A21" s="2" t="inlineStr">
        <is>
          <t>Subtotal (net)</t>
        </is>
      </c>
      <c r="B21" s="2" t="inlineStr"/>
      <c r="C21" s="36" t="inlineStr">
        <is>
          <t>$4,460</t>
        </is>
      </c>
    </row>
    <row r="22">
      <c r="A22" s="2" t="inlineStr">
        <is>
          <t>Contingency 10% (on net operating)</t>
        </is>
      </c>
      <c r="B22" s="2" t="inlineStr"/>
      <c r="C22" s="36" t="inlineStr">
        <is>
          <t>$446</t>
        </is>
      </c>
    </row>
    <row r="23">
      <c r="A23" s="34" t="inlineStr">
        <is>
          <t>OPERATING TOTAL</t>
        </is>
      </c>
      <c r="B23" s="34" t="inlineStr"/>
      <c r="C23" s="34" t="inlineStr">
        <is>
          <t>$4,906</t>
        </is>
      </c>
    </row>
    <row r="24">
      <c r="A24" t="inlineStr"/>
      <c r="B24" t="inlineStr"/>
      <c r="C24" t="inlineStr"/>
    </row>
    <row r="25" ht="42" customHeight="1">
      <c r="A25" s="27" t="inlineStr">
        <is>
          <t>Note: team apparel is bulk-bought and resold to members at cost, so it nets ~$0 cash. The year-end formal is the single biggest non-conference line and is fully club-funded (no ticket charge). Even so, operating spend stays small next to the travel program.</t>
        </is>
      </c>
    </row>
  </sheetData>
  <mergeCells count="3">
    <mergeCell ref="A1:C1"/>
    <mergeCell ref="A25:C25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40" customWidth="1" min="5" max="5"/>
  </cols>
  <sheetData>
    <row r="1" ht="22" customHeight="1">
      <c r="A1" s="20" t="inlineStr">
        <is>
          <t>FUNDRAISING &amp; NET POSITION 2026-27  ·  all-in club cash picture</t>
        </is>
      </c>
    </row>
    <row r="2" ht="28" customHeight="1">
      <c r="A2" s="31" t="inlineStr">
        <is>
          <t>Ties it together: TOTAL CLUB COST (conference program + operating) vs FUNDING (AMS grant + delegate fees + bar nights). Aim is to subsidize, not break even — the gap is what the club funds from treasury. CAD.</t>
        </is>
      </c>
    </row>
    <row r="3">
      <c r="A3" t="inlineStr"/>
      <c r="B3" t="inlineStr"/>
      <c r="C3" t="inlineStr"/>
      <c r="D3" t="inlineStr"/>
      <c r="E3" t="inlineStr"/>
    </row>
    <row r="4">
      <c r="A4" s="8" t="inlineStr">
        <is>
          <t>A · BAR / PERCENTAGE NIGHTS  (the modelled fundraiser)</t>
        </is>
      </c>
    </row>
    <row r="5">
      <c r="A5" s="12" t="inlineStr">
        <is>
          <t>Scenario</t>
        </is>
      </c>
      <c r="B5" s="12" t="inlineStr">
        <is>
          <t>Net / night</t>
        </is>
      </c>
      <c r="C5" s="12" t="inlineStr">
        <is>
          <t># nights</t>
        </is>
      </c>
      <c r="D5" s="12" t="inlineStr">
        <is>
          <t>Season total</t>
        </is>
      </c>
      <c r="E5" s="12" t="inlineStr">
        <is>
          <t>How it gets there</t>
        </is>
      </c>
    </row>
    <row r="6">
      <c r="A6" t="inlineStr">
        <is>
          <t>Conservative</t>
        </is>
      </c>
      <c r="B6" t="inlineStr">
        <is>
          <t>$300</t>
        </is>
      </c>
      <c r="C6" t="inlineStr">
        <is>
          <t>3</t>
        </is>
      </c>
      <c r="D6" t="inlineStr">
        <is>
          <t>$900</t>
        </is>
      </c>
      <c r="E6" t="inlineStr">
        <is>
          <t>percentage night, ~15% of a light turnout</t>
        </is>
      </c>
    </row>
    <row r="7">
      <c r="A7" t="inlineStr">
        <is>
          <t>Expected (used below)</t>
        </is>
      </c>
      <c r="B7" t="inlineStr">
        <is>
          <t>$550</t>
        </is>
      </c>
      <c r="C7" t="inlineStr">
        <is>
          <t>3</t>
        </is>
      </c>
      <c r="D7" t="inlineStr">
        <is>
          <t>$1,650</t>
        </is>
      </c>
      <c r="E7" t="inlineStr">
        <is>
          <t>mix of % night + small cover; ~60-80 out</t>
        </is>
      </c>
    </row>
    <row r="8">
      <c r="A8" t="inlineStr">
        <is>
          <t>Optimistic</t>
        </is>
      </c>
      <c r="B8" t="inlineStr">
        <is>
          <t>$800</t>
        </is>
      </c>
      <c r="C8" t="inlineStr">
        <is>
          <t>3</t>
        </is>
      </c>
      <c r="D8" t="inlineStr">
        <is>
          <t>$2,400</t>
        </is>
      </c>
      <c r="E8" t="inlineStr">
        <is>
          <t>ticketed social, venue deal, strong turnout</t>
        </is>
      </c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B · ALL-IN NET POSITION  (at each delegate fee level)</t>
        </is>
      </c>
    </row>
    <row r="11">
      <c r="A11" t="inlineStr">
        <is>
          <t>Conference program (selected slate)</t>
        </is>
      </c>
      <c r="B11" t="inlineStr"/>
      <c r="C11" s="36" t="inlineStr">
        <is>
          <t>$41,225</t>
        </is>
      </c>
      <c r="D11" t="inlineStr"/>
      <c r="E11" t="inlineStr">
        <is>
          <t>fixed — Selected Slate tab</t>
        </is>
      </c>
    </row>
    <row r="12">
      <c r="A12" t="inlineStr">
        <is>
          <t>Operating budget (socials/training/merch/admin)</t>
        </is>
      </c>
      <c r="B12" t="inlineStr"/>
      <c r="C12" s="36" t="inlineStr">
        <is>
          <t>$4,906</t>
        </is>
      </c>
      <c r="D12" t="inlineStr"/>
      <c r="E12" t="inlineStr">
        <is>
          <t>fixed — Operating Budget tab</t>
        </is>
      </c>
    </row>
    <row r="13">
      <c r="A13" s="34" t="inlineStr">
        <is>
          <t>TOTAL CLUB COST</t>
        </is>
      </c>
      <c r="B13" s="34" t="inlineStr"/>
      <c r="C13" s="34" t="inlineStr">
        <is>
          <t>$46,131</t>
        </is>
      </c>
      <c r="D13" s="34" t="inlineStr"/>
      <c r="E13" s="34" t="inlineStr">
        <is>
          <t>what the year costs, all-in</t>
        </is>
      </c>
    </row>
    <row r="14">
      <c r="A14" s="37" t="inlineStr">
        <is>
          <t>AMS / society grant   [EDIT THIS CELL]</t>
        </is>
      </c>
      <c r="B14" s="37" t="inlineStr"/>
      <c r="C14" s="15" t="inlineStr">
        <is>
          <t>$1,500</t>
        </is>
      </c>
      <c r="D14" s="37" t="inlineStr"/>
      <c r="E14" s="37" t="inlineStr">
        <is>
          <t>illustrative — replace with your confirmed allotment</t>
        </is>
      </c>
    </row>
    <row r="15">
      <c r="A15" t="inlineStr">
        <is>
          <t>Club joining fee  ($10 x 80 members)</t>
        </is>
      </c>
      <c r="B15" t="inlineStr"/>
      <c r="C15" s="36" t="inlineStr">
        <is>
          <t>$800</t>
        </is>
      </c>
      <c r="D15" t="inlineStr"/>
      <c r="E15" t="inlineStr">
        <is>
          <t>one-time membership dues, separate from delegate fees</t>
        </is>
      </c>
    </row>
    <row r="16">
      <c r="A16" t="inlineStr">
        <is>
          <t>Bar/percentage nights (expected, 3 nights)</t>
        </is>
      </c>
      <c r="B16" t="inlineStr"/>
      <c r="C16" s="36" t="inlineStr">
        <is>
          <t>$1,650</t>
        </is>
      </c>
      <c r="D16" t="inlineStr"/>
      <c r="E16" t="inlineStr">
        <is>
          <t>from section A</t>
        </is>
      </c>
    </row>
    <row r="17">
      <c r="A17" t="inlineStr"/>
      <c r="B17" t="inlineStr"/>
      <c r="C17" t="inlineStr"/>
      <c r="D17" t="inlineStr"/>
      <c r="E17" t="inlineStr"/>
    </row>
    <row r="18">
      <c r="A18" s="12" t="inlineStr">
        <is>
          <t>Delegate fee</t>
        </is>
      </c>
      <c r="B18" s="12" t="inlineStr">
        <is>
          <t>Fee revenue (80 trips)</t>
        </is>
      </c>
      <c r="C18" s="12" t="inlineStr">
        <is>
          <t>+ grant/dues/bar</t>
        </is>
      </c>
      <c r="D18" s="12" t="inlineStr">
        <is>
          <t>Funding total</t>
        </is>
      </c>
      <c r="E18" s="12" t="inlineStr">
        <is>
          <t>Club funds (gap)</t>
        </is>
      </c>
    </row>
    <row r="19">
      <c r="A19" s="4" t="inlineStr">
        <is>
          <t>$100/delegate</t>
        </is>
      </c>
      <c r="B19" s="4" t="inlineStr">
        <is>
          <t>$8,000</t>
        </is>
      </c>
      <c r="C19" s="4" t="inlineStr">
        <is>
          <t>$3,950</t>
        </is>
      </c>
      <c r="D19" s="4" t="inlineStr">
        <is>
          <t>$11,950</t>
        </is>
      </c>
      <c r="E19" s="25" t="inlineStr">
        <is>
          <t>$34,181</t>
        </is>
      </c>
    </row>
    <row r="20">
      <c r="A20" s="4" t="inlineStr">
        <is>
          <t>$200/delegate</t>
        </is>
      </c>
      <c r="B20" s="4" t="inlineStr">
        <is>
          <t>$16,000</t>
        </is>
      </c>
      <c r="C20" s="4" t="inlineStr">
        <is>
          <t>$3,950</t>
        </is>
      </c>
      <c r="D20" s="4" t="inlineStr">
        <is>
          <t>$19,950</t>
        </is>
      </c>
      <c r="E20" s="25" t="inlineStr">
        <is>
          <t>$26,181</t>
        </is>
      </c>
    </row>
    <row r="21">
      <c r="A21" s="4" t="inlineStr">
        <is>
          <t>$250/delegate</t>
        </is>
      </c>
      <c r="B21" s="4" t="inlineStr">
        <is>
          <t>$20,000</t>
        </is>
      </c>
      <c r="C21" s="4" t="inlineStr">
        <is>
          <t>$3,950</t>
        </is>
      </c>
      <c r="D21" s="4" t="inlineStr">
        <is>
          <t>$23,950</t>
        </is>
      </c>
      <c r="E21" s="25" t="inlineStr">
        <is>
          <t>$22,181</t>
        </is>
      </c>
    </row>
    <row r="22">
      <c r="A22" s="4" t="inlineStr">
        <is>
          <t>$300/delegate</t>
        </is>
      </c>
      <c r="B22" s="4" t="inlineStr">
        <is>
          <t>$24,000</t>
        </is>
      </c>
      <c r="C22" s="4" t="inlineStr">
        <is>
          <t>$3,950</t>
        </is>
      </c>
      <c r="D22" s="4" t="inlineStr">
        <is>
          <t>$27,950</t>
        </is>
      </c>
      <c r="E22" s="25" t="inlineStr">
        <is>
          <t>$18,181</t>
        </is>
      </c>
    </row>
    <row r="23">
      <c r="A23" s="4" t="inlineStr">
        <is>
          <t>$350/delegate</t>
        </is>
      </c>
      <c r="B23" s="4" t="inlineStr">
        <is>
          <t>$28,000</t>
        </is>
      </c>
      <c r="C23" s="4" t="inlineStr">
        <is>
          <t>$3,950</t>
        </is>
      </c>
      <c r="D23" s="4" t="inlineStr">
        <is>
          <t>$31,950</t>
        </is>
      </c>
      <c r="E23" s="25" t="inlineStr">
        <is>
          <t>$14,181</t>
        </is>
      </c>
    </row>
    <row r="24">
      <c r="A24" s="4" t="inlineStr">
        <is>
          <t>$400/delegate</t>
        </is>
      </c>
      <c r="B24" s="4" t="inlineStr">
        <is>
          <t>$32,000</t>
        </is>
      </c>
      <c r="C24" s="4" t="inlineStr">
        <is>
          <t>$3,950</t>
        </is>
      </c>
      <c r="D24" s="4" t="inlineStr">
        <is>
          <t>$35,950</t>
        </is>
      </c>
      <c r="E24" s="25" t="inlineStr">
        <is>
          <t>$10,181</t>
        </is>
      </c>
    </row>
    <row r="25">
      <c r="A25" t="inlineStr"/>
      <c r="B25" t="inlineStr"/>
      <c r="C25" t="inlineStr"/>
      <c r="D25" t="inlineStr"/>
      <c r="E25" t="inlineStr"/>
    </row>
    <row r="26" ht="56" customHeight="1">
      <c r="A26" s="35" t="inlineStr">
        <is>
          <t>BOTTOM LINE: travel is the cost driver — operating is only $4,906 (11% of the $46,131 all-in). AMS grant + $10 joining fee + bar nights chip ~$3,950 off whatever you set, before any delegate fees. Every $50 on the delegate fee moves the gap by $4,000 (80 trips). Set the fee for affordability; the remaining gap is the planned subsidy, not a shortfall to fix.</t>
        </is>
      </c>
    </row>
  </sheetData>
  <mergeCells count="5">
    <mergeCell ref="A4:E4"/>
    <mergeCell ref="A26:E26"/>
    <mergeCell ref="A2:E2"/>
    <mergeCell ref="A10:E10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4" customWidth="1" min="4" max="4"/>
    <col width="46" customWidth="1" min="5" max="5"/>
  </cols>
  <sheetData>
    <row r="1" ht="22" customHeight="1">
      <c r="A1" s="11" t="inlineStr">
        <is>
          <t>REGISTRATION WINDOWS &amp; DEADLINES – Selected Slate (6 confs)  ·  sourced June 2026</t>
        </is>
      </c>
    </row>
    <row r="2" ht="28" customHeight="1">
      <c r="A2" s="31" t="inlineStr">
        <is>
          <t>Budget uses each conference's REGULAR-window fee (conservative). Earlier windows save where shown. 2027 portals partly unposted — verify any row marked TBD/est before relying on a date.</t>
        </is>
      </c>
    </row>
    <row r="3">
      <c r="A3" t="inlineStr"/>
      <c r="B3" t="inlineStr"/>
      <c r="C3" t="inlineStr"/>
      <c r="D3" t="inlineStr"/>
      <c r="E3" t="inlineStr"/>
    </row>
    <row r="4">
      <c r="A4" s="12" t="inlineStr">
        <is>
          <t>Conference</t>
        </is>
      </c>
      <c r="B4" s="12" t="inlineStr">
        <is>
          <t>Window / milestone</t>
        </is>
      </c>
      <c r="C4" s="12" t="inlineStr">
        <is>
          <t>Closes</t>
        </is>
      </c>
      <c r="D4" s="12" t="inlineStr">
        <is>
          <t>Per-del fee</t>
        </is>
      </c>
      <c r="E4" s="12" t="inlineStr">
        <is>
          <t>Status / note</t>
        </is>
      </c>
    </row>
    <row r="5">
      <c r="A5" s="8" t="inlineStr">
        <is>
          <t>NCSC – Georgetown</t>
        </is>
      </c>
    </row>
    <row r="6">
      <c r="A6" s="4" t="inlineStr"/>
      <c r="B6" s="4" t="inlineStr">
        <is>
          <t>Priority</t>
        </is>
      </c>
      <c r="C6" s="22" t="inlineStr">
        <is>
          <t>Apr 26, 2026 (CLOSED)</t>
        </is>
      </c>
      <c r="D6" s="4" t="inlineStr">
        <is>
          <t>lower</t>
        </is>
      </c>
      <c r="E6" s="5" t="inlineStr">
        <is>
          <t>missed — priority wave already shut</t>
        </is>
      </c>
    </row>
    <row r="7">
      <c r="A7" s="4" t="inlineStr"/>
      <c r="B7" s="6" t="inlineStr">
        <is>
          <t>Regular  (budgeted)</t>
        </is>
      </c>
      <c r="C7" s="23" t="inlineStr">
        <is>
          <t>Aug 23, 2026</t>
        </is>
      </c>
      <c r="D7" s="6" t="inlineStr">
        <is>
          <t>$110 USD</t>
        </is>
      </c>
      <c r="E7" s="7" t="inlineStr">
        <is>
          <t>current open window = the budget rate</t>
        </is>
      </c>
    </row>
    <row r="8">
      <c r="A8" s="4" t="inlineStr"/>
      <c r="B8" s="4" t="inlineStr">
        <is>
          <t>Final delegate payment</t>
        </is>
      </c>
      <c r="C8" s="22" t="inlineStr">
        <is>
          <t>Oct 7, 2026</t>
        </is>
      </c>
      <c r="D8" s="4" t="inlineStr">
        <is>
          <t>—</t>
        </is>
      </c>
      <c r="E8" s="5" t="inlineStr">
        <is>
          <t>hard balance deadline, all 8 delegates</t>
        </is>
      </c>
    </row>
    <row r="9">
      <c r="A9" s="8" t="inlineStr">
        <is>
          <t>CIAC – Cornell</t>
        </is>
      </c>
    </row>
    <row r="10">
      <c r="A10" s="4" t="inlineStr"/>
      <c r="B10" s="4" t="inlineStr">
        <is>
          <t>Early</t>
        </is>
      </c>
      <c r="C10" s="22" t="inlineStr">
        <is>
          <t>Jul 31, 2026</t>
        </is>
      </c>
      <c r="D10" s="4" t="inlineStr">
        <is>
          <t>$80 USD</t>
        </is>
      </c>
      <c r="E10" s="5" t="inlineStr">
        <is>
          <t>saves $10/del vs budget; delegates 11+ free</t>
        </is>
      </c>
    </row>
    <row r="11">
      <c r="A11" s="4" t="inlineStr"/>
      <c r="B11" s="6" t="inlineStr">
        <is>
          <t>Regular  (budgeted)</t>
        </is>
      </c>
      <c r="C11" s="23" t="inlineStr">
        <is>
          <t>after Jul 31, 2026</t>
        </is>
      </c>
      <c r="D11" s="6" t="inlineStr">
        <is>
          <t>$90 USD</t>
        </is>
      </c>
      <c r="E11" s="7" t="inlineStr">
        <is>
          <t>budget rate (conservative)</t>
        </is>
      </c>
    </row>
    <row r="12">
      <c r="A12" s="4" t="inlineStr"/>
      <c r="B12" s="4" t="inlineStr">
        <is>
          <t>Late / balance due</t>
        </is>
      </c>
      <c r="C12" s="22" t="inlineStr">
        <is>
          <t>Oct 9, 2026</t>
        </is>
      </c>
      <c r="D12" s="4" t="inlineStr">
        <is>
          <t>$90 USD</t>
        </is>
      </c>
      <c r="E12" s="5" t="inlineStr">
        <is>
          <t>full balance, billable delegates only</t>
        </is>
      </c>
    </row>
    <row r="13">
      <c r="A13" s="8" t="inlineStr">
        <is>
          <t>ChoMUN – UChicago</t>
        </is>
      </c>
    </row>
    <row r="14">
      <c r="A14" s="4" t="inlineStr"/>
      <c r="B14" s="4" t="inlineStr">
        <is>
          <t>Priority</t>
        </is>
      </c>
      <c r="C14" s="22" t="inlineStr">
        <is>
          <t>Sep 6, 2026</t>
        </is>
      </c>
      <c r="D14" s="4" t="inlineStr">
        <is>
          <t>$95 USD</t>
        </is>
      </c>
      <c r="E14" s="5" t="inlineStr">
        <is>
          <t>first-time-school discount; saves $15/del</t>
        </is>
      </c>
    </row>
    <row r="15">
      <c r="A15" s="4" t="inlineStr"/>
      <c r="B15" s="6" t="inlineStr">
        <is>
          <t>Regular  (budgeted)</t>
        </is>
      </c>
      <c r="C15" s="23" t="inlineStr">
        <is>
          <t>Jan 10, 2027</t>
        </is>
      </c>
      <c r="D15" s="6" t="inlineStr">
        <is>
          <t>$110 USD</t>
        </is>
      </c>
      <c r="E15" s="7" t="inlineStr">
        <is>
          <t>budget rate; +5% if paying by credit card</t>
        </is>
      </c>
    </row>
    <row r="16">
      <c r="A16" s="4" t="inlineStr"/>
      <c r="B16" s="4" t="inlineStr">
        <is>
          <t>Late</t>
        </is>
      </c>
      <c r="C16" s="22" t="inlineStr">
        <is>
          <t>after Jan 10, 2027</t>
        </is>
      </c>
      <c r="D16" s="4" t="inlineStr">
        <is>
          <t>higher</t>
        </is>
      </c>
      <c r="E16" s="5" t="inlineStr">
        <is>
          <t>avoid — per-del fee steps up</t>
        </is>
      </c>
    </row>
    <row r="17">
      <c r="A17" s="4" t="inlineStr"/>
      <c r="B17" s="4" t="inlineStr">
        <is>
          <t>Payment deadline</t>
        </is>
      </c>
      <c r="C17" s="22" t="inlineStr">
        <is>
          <t>Mar 5, 2027</t>
        </is>
      </c>
      <c r="D17" s="4" t="inlineStr">
        <is>
          <t>—</t>
        </is>
      </c>
      <c r="E17" s="5" t="inlineStr">
        <is>
          <t>full balance due</t>
        </is>
      </c>
    </row>
    <row r="18">
      <c r="A18" s="8" t="inlineStr">
        <is>
          <t>McMUN – McGill   (2027 TBD)</t>
        </is>
      </c>
    </row>
    <row r="19">
      <c r="A19" s="4" t="inlineStr"/>
      <c r="B19" s="4" t="inlineStr">
        <is>
          <t>Portal opens</t>
        </is>
      </c>
      <c r="C19" s="22" t="inlineStr">
        <is>
          <t>~summer 2026</t>
        </is>
      </c>
      <c r="D19" s="4" t="inlineStr">
        <is>
          <t>—</t>
        </is>
      </c>
      <c r="E19" s="5" t="inlineStr">
        <is>
          <t>watch mcmun.org; 2027 fee table unposted</t>
        </is>
      </c>
    </row>
    <row r="20">
      <c r="A20" s="4" t="inlineStr"/>
      <c r="B20" s="4" t="inlineStr">
        <is>
          <t>Priority wave</t>
        </is>
      </c>
      <c r="C20" s="22" t="inlineStr">
        <is>
          <t>~Sep-Oct 2026 (est)</t>
        </is>
      </c>
      <c r="D20" s="4" t="inlineStr">
        <is>
          <t>cheapest</t>
        </is>
      </c>
      <c r="E20" s="5" t="inlineStr">
        <is>
          <t>register here when it opens</t>
        </is>
      </c>
    </row>
    <row r="21">
      <c r="A21" s="4" t="inlineStr"/>
      <c r="B21" s="6" t="inlineStr">
        <is>
          <t>Regular  (budgeted)</t>
        </is>
      </c>
      <c r="C21" s="23" t="inlineStr">
        <is>
          <t>TBD</t>
        </is>
      </c>
      <c r="D21" s="6" t="inlineStr">
        <is>
          <t>$125 CAD est</t>
        </is>
      </c>
      <c r="E21" s="7" t="inlineStr">
        <is>
          <t>estimate — confirm finance@mcmun.org</t>
        </is>
      </c>
    </row>
    <row r="22">
      <c r="A22" s="4" t="inlineStr"/>
      <c r="B22" s="4" t="inlineStr">
        <is>
          <t>Hotel block cutoff</t>
        </is>
      </c>
      <c r="C22" s="22" t="inlineStr">
        <is>
          <t>~Dec 25, 2026</t>
        </is>
      </c>
      <c r="D22" s="4" t="inlineStr">
        <is>
          <t>—</t>
        </is>
      </c>
      <c r="E22" s="5" t="inlineStr">
        <is>
          <t>Le Centre Sheraton; reconfirm 2027 date</t>
        </is>
      </c>
    </row>
    <row r="23">
      <c r="A23" s="4" t="inlineStr"/>
      <c r="B23" s="4" t="inlineStr">
        <is>
          <t>Final delegate payment</t>
        </is>
      </c>
      <c r="C23" s="22" t="inlineStr">
        <is>
          <t>~late Dec 2026</t>
        </is>
      </c>
      <c r="D23" s="4" t="inlineStr">
        <is>
          <t>—</t>
        </is>
      </c>
      <c r="E23" s="5" t="inlineStr">
        <is>
          <t>paid with Megabus booking</t>
        </is>
      </c>
    </row>
    <row r="24">
      <c r="A24" s="8" t="inlineStr">
        <is>
          <t>ConMUN – Concordia   (2027 TBD)</t>
        </is>
      </c>
    </row>
    <row r="25">
      <c r="A25" s="4" t="inlineStr"/>
      <c r="B25" s="4" t="inlineStr">
        <is>
          <t>Early</t>
        </is>
      </c>
      <c r="C25" s="22" t="inlineStr">
        <is>
          <t>~Sep 2026 (est)</t>
        </is>
      </c>
      <c r="D25" s="4" t="inlineStr">
        <is>
          <t>~$110 CAD</t>
        </is>
      </c>
      <c r="E25" s="5" t="inlineStr">
        <is>
          <t>2027 portal not yet open</t>
        </is>
      </c>
    </row>
    <row r="26">
      <c r="A26" s="4" t="inlineStr"/>
      <c r="B26" s="6" t="inlineStr">
        <is>
          <t>Regular  (budgeted)</t>
        </is>
      </c>
      <c r="C26" s="23" t="inlineStr">
        <is>
          <t>TBD</t>
        </is>
      </c>
      <c r="D26" s="6" t="inlineStr">
        <is>
          <t>$125 CAD</t>
        </is>
      </c>
      <c r="E26" s="7" t="inlineStr">
        <is>
          <t>2026 figures used as placeholder</t>
        </is>
      </c>
    </row>
    <row r="27">
      <c r="A27" s="4" t="inlineStr"/>
      <c r="B27" s="4" t="inlineStr">
        <is>
          <t>Final payment</t>
        </is>
      </c>
      <c r="C27" s="22" t="inlineStr">
        <is>
          <t>~Feb 2027</t>
        </is>
      </c>
      <c r="D27" s="4" t="inlineStr">
        <is>
          <t>—</t>
        </is>
      </c>
      <c r="E27" s="5" t="inlineStr">
        <is>
          <t>paid with Megabus booking</t>
        </is>
      </c>
    </row>
    <row r="28">
      <c r="A28" s="8" t="inlineStr">
        <is>
          <t>VICS – UVA   (VICS 31 windows TBD)</t>
        </is>
      </c>
    </row>
    <row r="29">
      <c r="A29" s="4" t="inlineStr"/>
      <c r="B29" s="4" t="inlineStr">
        <is>
          <t>Early / regular</t>
        </is>
      </c>
      <c r="C29" s="22" t="inlineStr">
        <is>
          <t>TBD</t>
        </is>
      </c>
      <c r="D29" s="4" t="inlineStr">
        <is>
          <t>$105 USD</t>
        </is>
      </c>
      <c r="E29" s="5" t="inlineStr">
        <is>
          <t>windows unposted; $105 used as budget rate</t>
        </is>
      </c>
    </row>
    <row r="30">
      <c r="A30" s="4" t="inlineStr"/>
      <c r="B30" s="4" t="inlineStr">
        <is>
          <t>Refund cutoff</t>
        </is>
      </c>
      <c r="C30" s="22" t="inlineStr">
        <is>
          <t>Jan 19, 2027</t>
        </is>
      </c>
      <c r="D30" s="4" t="inlineStr">
        <is>
          <t>—</t>
        </is>
      </c>
      <c r="E30" s="5" t="inlineStr">
        <is>
          <t>fees owed in full even if you withdraw after</t>
        </is>
      </c>
    </row>
    <row r="31">
      <c r="A31" s="4" t="inlineStr"/>
      <c r="B31" s="4" t="inlineStr">
        <is>
          <t>Late registration closes</t>
        </is>
      </c>
      <c r="C31" s="22" t="inlineStr">
        <is>
          <t>Mar 1, 2027</t>
        </is>
      </c>
      <c r="D31" s="4" t="inlineStr">
        <is>
          <t>—</t>
        </is>
      </c>
      <c r="E31" s="5" t="inlineStr">
        <is>
          <t>verify — VICS 31 dates not yet published</t>
        </is>
      </c>
    </row>
    <row r="32">
      <c r="A32" t="inlineStr"/>
      <c r="B32" t="inlineStr"/>
      <c r="C32" t="inlineStr"/>
      <c r="D32" t="inlineStr"/>
      <c r="E32" t="inlineStr"/>
    </row>
    <row r="33">
      <c r="A33" s="38" t="inlineStr">
        <is>
          <t>EARLY-REGISTRATION SAVINGS (not yet banked in budget)</t>
        </is>
      </c>
      <c r="B33" s="38" t="inlineStr"/>
      <c r="C33" s="38" t="inlineStr"/>
      <c r="D33" s="38" t="inlineStr"/>
      <c r="E33" s="38" t="inlineStr"/>
    </row>
    <row r="34">
      <c r="A34" s="4" t="inlineStr">
        <is>
          <t>CIAC early</t>
        </is>
      </c>
      <c r="B34" s="4" t="inlineStr">
        <is>
          <t>by Jul 31, 2026</t>
        </is>
      </c>
      <c r="C34" s="22" t="inlineStr">
        <is>
          <t>$10/del x 10 billable</t>
        </is>
      </c>
      <c r="D34" s="4">
        <f> $100 USD</f>
        <v/>
      </c>
      <c r="E34" s="5" t="inlineStr">
        <is>
          <t>budget assumes the $90 regular rate</t>
        </is>
      </c>
    </row>
    <row r="35">
      <c r="A35" s="4" t="inlineStr">
        <is>
          <t>ChoMUN priority</t>
        </is>
      </c>
      <c r="B35" s="4" t="inlineStr">
        <is>
          <t>by Sep 6, 2026</t>
        </is>
      </c>
      <c r="C35" s="22" t="inlineStr">
        <is>
          <t>$15/del x 8</t>
        </is>
      </c>
      <c r="D35" s="4">
        <f> $120 USD</f>
        <v/>
      </c>
      <c r="E35" s="5" t="inlineStr">
        <is>
          <t>budget assumes the $110 regular rate</t>
        </is>
      </c>
    </row>
    <row r="36">
      <c r="A36" s="4" t="inlineStr">
        <is>
          <t>McMUN / ConMUN priority</t>
        </is>
      </c>
      <c r="B36" s="4" t="inlineStr">
        <is>
          <t>when 2027 portals open</t>
        </is>
      </c>
      <c r="C36" s="22" t="inlineStr">
        <is>
          <t>unquantified</t>
        </is>
      </c>
      <c r="D36" s="4" t="inlineStr">
        <is>
          <t>TBD</t>
        </is>
      </c>
      <c r="E36" s="5" t="inlineStr">
        <is>
          <t>priority waves cheapest; amount not yet posted</t>
        </is>
      </c>
    </row>
    <row r="37" ht="42" customHeight="1">
      <c r="A37" s="35" t="inlineStr">
        <is>
          <t>NET: registering in the early/priority windows saves ~$220 USD (~$305 CAD) on the two US confs alone, before McMUN/ConMUN. The budget deliberately omits this so it lands as upside, not a number you have to hit.</t>
        </is>
      </c>
    </row>
  </sheetData>
  <mergeCells count="9">
    <mergeCell ref="A18:E18"/>
    <mergeCell ref="A24:E24"/>
    <mergeCell ref="A2:E2"/>
    <mergeCell ref="A28:E28"/>
    <mergeCell ref="A1:E1"/>
    <mergeCell ref="A5:E5"/>
    <mergeCell ref="A37:E37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2026-06-11T02:01:10Z</dcterms:created>
  <dcterms:modified xmlns:dcterms="http://purl.org/dc/terms/" xmlns:xsi="http://www.w3.org/2001/XMLSchema-instance" xsi:type="dcterms:W3CDTF">2026-06-11T02:01:10Z</dcterms:modified>
</cp:coreProperties>
</file>